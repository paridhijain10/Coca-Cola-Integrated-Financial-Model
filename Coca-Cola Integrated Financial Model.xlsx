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Assumptions" sheetId="2" r:id="rId6"/>
    <sheet state="visible" name="Historicals" sheetId="3" r:id="rId7"/>
    <sheet state="visible" name="Income Statement" sheetId="4" r:id="rId8"/>
    <sheet state="visible" name="Balance Sheet" sheetId="5" r:id="rId9"/>
    <sheet state="visible" name="Cash Flow" sheetId="6" r:id="rId10"/>
    <sheet state="visible" name="Working Capital" sheetId="7" r:id="rId11"/>
    <sheet state="visible" name="PP&amp;E" sheetId="8" r:id="rId12"/>
    <sheet state="visible" name="Debt" sheetId="9" r:id="rId13"/>
    <sheet state="visible" name="DCF" sheetId="10" r:id="rId14"/>
    <sheet state="visible" name="Sensitivity" sheetId="11" r:id="rId15"/>
    <sheet state="visible" name="Dashboard" sheetId="12" r:id="rId16"/>
  </sheets>
  <definedNames/>
  <calcPr/>
</workbook>
</file>

<file path=xl/sharedStrings.xml><?xml version="1.0" encoding="utf-8"?>
<sst xmlns="http://schemas.openxmlformats.org/spreadsheetml/2006/main" count="335" uniqueCount="181">
  <si>
    <t>INTEGRATED FINANCIAL MODEL</t>
  </si>
  <si>
    <t>KEY ASSUMPTIONS</t>
  </si>
  <si>
    <t>HISTORICAL FINANCIALS</t>
  </si>
  <si>
    <t>INCOME STATEMENT</t>
  </si>
  <si>
    <t>The Coca-Cola Company (NYSE: KO)</t>
  </si>
  <si>
    <t>3-Statement Forecast &amp; DCF Valuation</t>
  </si>
  <si>
    <t>Historical Period: 2022–2025</t>
  </si>
  <si>
    <t>$ in millions</t>
  </si>
  <si>
    <t>Forecast Period: 2026–2030</t>
  </si>
  <si>
    <t>2022A</t>
  </si>
  <si>
    <t>Prepared by: Paridhi Jain</t>
  </si>
  <si>
    <t>2023A</t>
  </si>
  <si>
    <t>2024A</t>
  </si>
  <si>
    <t>2025A</t>
  </si>
  <si>
    <t>Fiscal Year</t>
  </si>
  <si>
    <t>2026E</t>
  </si>
  <si>
    <t>2027E</t>
  </si>
  <si>
    <t>2028E</t>
  </si>
  <si>
    <t>2029E</t>
  </si>
  <si>
    <t>2030E</t>
  </si>
  <si>
    <t>Revenue</t>
  </si>
  <si>
    <t>Net Operating Revenues</t>
  </si>
  <si>
    <t>Cost of Goods Sold</t>
  </si>
  <si>
    <t>Revenue Growth</t>
  </si>
  <si>
    <t>Gross Profit</t>
  </si>
  <si>
    <t>SG&amp;A</t>
  </si>
  <si>
    <t>Other Operating Charges</t>
  </si>
  <si>
    <t>Operating Income</t>
  </si>
  <si>
    <t>Interest Income</t>
  </si>
  <si>
    <t>Interest Expense</t>
  </si>
  <si>
    <t>Equity Income (Loss) - Net</t>
  </si>
  <si>
    <t>Other Income (Loss) - Net</t>
  </si>
  <si>
    <t>Income Before Income Taxes</t>
  </si>
  <si>
    <t>Income Taxes</t>
  </si>
  <si>
    <t>Consolidated Net Income</t>
  </si>
  <si>
    <t>COGS % of Revenue</t>
  </si>
  <si>
    <t>—</t>
  </si>
  <si>
    <t>BALANCE SHEET</t>
  </si>
  <si>
    <t>Cash &amp; Cash Equivalents</t>
  </si>
  <si>
    <t>COGS</t>
  </si>
  <si>
    <t>SG&amp;A % of Revenue</t>
  </si>
  <si>
    <t>Short-Term Investments</t>
  </si>
  <si>
    <t>Marketable Securities</t>
  </si>
  <si>
    <t>Accounts Receivable</t>
  </si>
  <si>
    <t>Inventories</t>
  </si>
  <si>
    <t>Prepaid Expenses &amp; Other Current Assets</t>
  </si>
  <si>
    <t>Assets Held for Sale</t>
  </si>
  <si>
    <t>Other Operating Charges % of Revenue</t>
  </si>
  <si>
    <t>Total Current Assets</t>
  </si>
  <si>
    <t>Equity Method Investments</t>
  </si>
  <si>
    <t>Gross Margin</t>
  </si>
  <si>
    <t>Deferred Income Tax Assets</t>
  </si>
  <si>
    <t>Tax Rate</t>
  </si>
  <si>
    <t>PP&amp;E, Net</t>
  </si>
  <si>
    <t>Trademarks with Indefinite Lives</t>
  </si>
  <si>
    <t>Goodwill</t>
  </si>
  <si>
    <t>Other Noncurrent Assets</t>
  </si>
  <si>
    <t>Total Assets</t>
  </si>
  <si>
    <t>D&amp;A % of Revenue</t>
  </si>
  <si>
    <t>Accounts Payable &amp; Accrued Expenses</t>
  </si>
  <si>
    <t>Loans &amp; Notes Payable</t>
  </si>
  <si>
    <t>Current Maturities of Long-Term Debt</t>
  </si>
  <si>
    <t>Accrued Income Taxes</t>
  </si>
  <si>
    <t>Liabilities Held for Sale</t>
  </si>
  <si>
    <t>Total Current Liabilities</t>
  </si>
  <si>
    <t>Long-Term Debt</t>
  </si>
  <si>
    <t>Other Noncurrent Liabilities</t>
  </si>
  <si>
    <t>CapEx % of Revenue</t>
  </si>
  <si>
    <t>Deferred Income Tax Liabilities</t>
  </si>
  <si>
    <t>Equity Attributable to Shareowners</t>
  </si>
  <si>
    <t>Equity Attributable to Noncontrolling Interests</t>
  </si>
  <si>
    <t>Total Equity</t>
  </si>
  <si>
    <t>Total Liabilities &amp; Equity</t>
  </si>
  <si>
    <t>Operating Margin</t>
  </si>
  <si>
    <t>CASH FLOW STATEMENT</t>
  </si>
  <si>
    <t>Dividend Payout Ratio</t>
  </si>
  <si>
    <t>OPERATING ACTIVITIES</t>
  </si>
  <si>
    <t>Depreciation and Amortization</t>
  </si>
  <si>
    <t>Stock-Based Compensation Expense</t>
  </si>
  <si>
    <t>Deferred Income Taxes</t>
  </si>
  <si>
    <t>Equity (Income) Loss — Net of Dividends</t>
  </si>
  <si>
    <t>Foreign Currency Adjustments</t>
  </si>
  <si>
    <t>Significant (Gains) Losses — Net</t>
  </si>
  <si>
    <t>Other Items</t>
  </si>
  <si>
    <t>Net Change in Operating Assets and Liabilities</t>
  </si>
  <si>
    <t>Net Cash Provided by Operating Activities</t>
  </si>
  <si>
    <t>INVESTING ACTIVITIES</t>
  </si>
  <si>
    <t>Purchases of Investments</t>
  </si>
  <si>
    <t>Proceeds from Disposals of Investments</t>
  </si>
  <si>
    <t>Acquisitions of Businesses, Equity Method Investments and Nonmarketable Securities</t>
  </si>
  <si>
    <t>Equity Income</t>
  </si>
  <si>
    <t>Proceeds from Disposals of Businesses, Equity Method Investments and Nonmarketable Securities</t>
  </si>
  <si>
    <t>Purchases of Property, Plant and Equipment</t>
  </si>
  <si>
    <t>Proceeds from Disposals of Property, Plant and Equipment</t>
  </si>
  <si>
    <t>Other Income</t>
  </si>
  <si>
    <t>Collateral (Paid) Received Associated with Hedging Activities — Net</t>
  </si>
  <si>
    <t>Other Investing Activities</t>
  </si>
  <si>
    <t>Net Cash Provided by (Used in) Investing Activities</t>
  </si>
  <si>
    <t>FINANCING ACTIVITIES</t>
  </si>
  <si>
    <t>Issuances of Loans, Notes Payable and Long-Term Debt</t>
  </si>
  <si>
    <t>Income Before Taxes</t>
  </si>
  <si>
    <t>Payments of Loans, Notes Payable and Long-Term Debt</t>
  </si>
  <si>
    <t>Issuances of Stock</t>
  </si>
  <si>
    <t>Purchases of Stock for Treasury</t>
  </si>
  <si>
    <t>Dividends</t>
  </si>
  <si>
    <t>Proceeds from Sale of a Noncontrolling Interest</t>
  </si>
  <si>
    <t>Other Financing Activities</t>
  </si>
  <si>
    <t>Net Cash Provided by (Used in) Financing Activities</t>
  </si>
  <si>
    <t>Effect of Exchange Rate Changes on Cash, Cash Equivalents, Restricted Cash and Restricted Cash Equivalents</t>
  </si>
  <si>
    <t>Cash, Cash Equivalents, Restricted Cash and Restricted Cash Equivalents</t>
  </si>
  <si>
    <t>Net Increase (Decrease) in Cash, Cash Equivalents, Restricted Cash and Restricted Cash Equivalents</t>
  </si>
  <si>
    <t>Cash, Cash Equivalents, Restricted Cash and Restricted Cash Equivalents at Beginning of Year</t>
  </si>
  <si>
    <t>Cash, Cash Equivalents, Restricted Cash and Restricted Cash Equivalents at End of Year</t>
  </si>
  <si>
    <t>Less: Restricted Cash and Restricted Cash Equivalents at End of Year</t>
  </si>
  <si>
    <t>Cash and Cash Equivalents at End of Year</t>
  </si>
  <si>
    <t>Net Income</t>
  </si>
  <si>
    <t>WORKING CAPITAL</t>
  </si>
  <si>
    <t>ASSETS</t>
  </si>
  <si>
    <t>AR % of Revenue</t>
  </si>
  <si>
    <t>PP&amp;E SCHEDULE</t>
  </si>
  <si>
    <t>Inventory</t>
  </si>
  <si>
    <t>Inventory % of Revenue</t>
  </si>
  <si>
    <t>Beginning PP&amp;E</t>
  </si>
  <si>
    <t>D&amp;A</t>
  </si>
  <si>
    <t>Accounts Payable</t>
  </si>
  <si>
    <t>AP % of Revenue</t>
  </si>
  <si>
    <t>CapEx</t>
  </si>
  <si>
    <t>Change in Working Capital</t>
  </si>
  <si>
    <t>Operating Working Capital</t>
  </si>
  <si>
    <t>Cash Flow from Operations</t>
  </si>
  <si>
    <t>Ending PP&amp;E</t>
  </si>
  <si>
    <t>LIABILITIES &amp; EQUITY</t>
  </si>
  <si>
    <t>Cash Flow from Investing</t>
  </si>
  <si>
    <t>Debt Issuance</t>
  </si>
  <si>
    <t>Debt Repayment</t>
  </si>
  <si>
    <t>Total Liabilities</t>
  </si>
  <si>
    <t>Cash Flow from Financing</t>
  </si>
  <si>
    <t>Net Change in Cash</t>
  </si>
  <si>
    <t>Balance Check</t>
  </si>
  <si>
    <t>Beginning Cash</t>
  </si>
  <si>
    <t>Ending Cash</t>
  </si>
  <si>
    <t>DEBT SCHEDULE</t>
  </si>
  <si>
    <t>DCF VALUATION</t>
  </si>
  <si>
    <t>Beginning Debt</t>
  </si>
  <si>
    <t>EBIT</t>
  </si>
  <si>
    <t>NOPAT</t>
  </si>
  <si>
    <t>Ending Debt</t>
  </si>
  <si>
    <t>FCFF</t>
  </si>
  <si>
    <t>Average Debt</t>
  </si>
  <si>
    <t>Discount Period</t>
  </si>
  <si>
    <t>Discount Factor</t>
  </si>
  <si>
    <t>Interest Rate</t>
  </si>
  <si>
    <t>PV of FCFF</t>
  </si>
  <si>
    <t>Terminal Growth Rate</t>
  </si>
  <si>
    <t>Terminal Value</t>
  </si>
  <si>
    <t>PV of Terminal Value</t>
  </si>
  <si>
    <t>Enterprise Value</t>
  </si>
  <si>
    <t>Less: Debt</t>
  </si>
  <si>
    <t>Add: Cash</t>
  </si>
  <si>
    <t>Equity Value</t>
  </si>
  <si>
    <t>Shares Outstanding</t>
  </si>
  <si>
    <t>Implied Share Price</t>
  </si>
  <si>
    <t>WACC</t>
  </si>
  <si>
    <t>COCA-COLA FINANCIAL MODEL DASHBOARD</t>
  </si>
  <si>
    <t>VALUATION SUMMARY</t>
  </si>
  <si>
    <t>OPERATING SUMMARY</t>
  </si>
  <si>
    <t>Revenue 2025A</t>
  </si>
  <si>
    <t>Revenue 2030E</t>
  </si>
  <si>
    <t>Revenue CAGR</t>
  </si>
  <si>
    <t>EBIT 2025A</t>
  </si>
  <si>
    <t>EBIT 2030E</t>
  </si>
  <si>
    <t>EBIT Margin 2030E</t>
  </si>
  <si>
    <t>Net Income 2025A</t>
  </si>
  <si>
    <t>Net Income 2030E</t>
  </si>
  <si>
    <t>FORECAST SUMMARY</t>
  </si>
  <si>
    <t>VALUATION RANGE</t>
  </si>
  <si>
    <t>Metric</t>
  </si>
  <si>
    <t>Base Case</t>
  </si>
  <si>
    <t>Downside Case</t>
  </si>
  <si>
    <t>Upside Case</t>
  </si>
  <si>
    <t>EBIT Margin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</si>
</sst>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;(#,##0);-"/>
    <numFmt numFmtId="165" formatCode="0.0%"/>
    <numFmt numFmtId="166" formatCode="#,##0.00;(#,##0.00);-"/>
    <numFmt numFmtId="167" formatCode="#,##0.0;(#,##0.0);-"/>
    <numFmt numFmtId="168" formatCode="[$$]#,##0.00"/>
  </numFmts>
  <fonts count="10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2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  <scheme val="minor"/>
    </font>
    <font>
      <sz val="12.0"/>
      <color rgb="FF000000"/>
      <name val="Arial"/>
    </font>
    <font>
      <b/>
      <sz val="12.0"/>
      <color theme="1"/>
      <name val="Arial"/>
      <scheme val="minor"/>
    </font>
    <font>
      <sz val="12.0"/>
      <color theme="1"/>
      <name val="Arial"/>
    </font>
    <font>
      <sz val="12.0"/>
      <color rgb="FF000000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1" fillId="0" fontId="2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2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right" readingOrder="0"/>
    </xf>
    <xf borderId="1" fillId="0" fontId="4" numFmtId="0" xfId="0" applyBorder="1" applyFont="1"/>
    <xf borderId="1" fillId="0" fontId="2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readingOrder="0" shrinkToFit="0" wrapText="0"/>
    </xf>
    <xf borderId="1" fillId="0" fontId="8" numFmtId="0" xfId="0" applyAlignment="1" applyBorder="1" applyFont="1">
      <alignment readingOrder="0"/>
    </xf>
    <xf borderId="1" fillId="0" fontId="8" numFmtId="3" xfId="0" applyAlignment="1" applyBorder="1" applyFont="1" applyNumberFormat="1">
      <alignment readingOrder="0"/>
    </xf>
    <xf borderId="1" fillId="0" fontId="9" numFmtId="0" xfId="0" applyBorder="1" applyFont="1"/>
    <xf borderId="1" fillId="0" fontId="4" numFmtId="164" xfId="0" applyBorder="1" applyFont="1" applyNumberFormat="1"/>
    <xf borderId="1" fillId="0" fontId="4" numFmtId="165" xfId="0" applyAlignment="1" applyBorder="1" applyFont="1" applyNumberFormat="1">
      <alignment horizontal="right"/>
    </xf>
    <xf borderId="1" fillId="0" fontId="4" numFmtId="165" xfId="0" applyBorder="1" applyFont="1" applyNumberFormat="1"/>
    <xf borderId="1" fillId="0" fontId="4" numFmtId="165" xfId="0" applyAlignment="1" applyBorder="1" applyFont="1" applyNumberFormat="1">
      <alignment readingOrder="0"/>
    </xf>
    <xf borderId="1" fillId="0" fontId="2" numFmtId="10" xfId="0" applyAlignment="1" applyBorder="1" applyFont="1" applyNumberFormat="1">
      <alignment readingOrder="0" shrinkToFit="0" wrapText="0"/>
    </xf>
    <xf borderId="1" fillId="0" fontId="8" numFmtId="10" xfId="0" applyAlignment="1" applyBorder="1" applyFont="1" applyNumberFormat="1">
      <alignment horizontal="right" readingOrder="0" shrinkToFit="0" wrapText="0"/>
    </xf>
    <xf borderId="0" fillId="0" fontId="8" numFmtId="0" xfId="0" applyAlignment="1" applyFont="1">
      <alignment shrinkToFit="0" wrapText="0"/>
    </xf>
    <xf borderId="1" fillId="0" fontId="2" numFmtId="0" xfId="0" applyAlignment="1" applyBorder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0" fontId="4" numFmtId="10" xfId="0" applyFont="1" applyNumberFormat="1"/>
    <xf borderId="1" fillId="0" fontId="8" numFmtId="3" xfId="0" applyAlignment="1" applyBorder="1" applyFont="1" applyNumberFormat="1">
      <alignment readingOrder="0" shrinkToFit="0" wrapText="0"/>
    </xf>
    <xf borderId="1" fillId="0" fontId="8" numFmtId="0" xfId="0" applyAlignment="1" applyBorder="1" applyFont="1">
      <alignment horizontal="right" readingOrder="0" shrinkToFit="0" wrapText="0"/>
    </xf>
    <xf borderId="1" fillId="0" fontId="2" numFmtId="3" xfId="0" applyAlignment="1" applyBorder="1" applyFont="1" applyNumberFormat="1">
      <alignment readingOrder="0" shrinkToFit="0" wrapText="0"/>
    </xf>
    <xf borderId="1" fillId="0" fontId="4" numFmtId="164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4" numFmtId="166" xfId="0" applyAlignment="1" applyBorder="1" applyFont="1" applyNumberFormat="1">
      <alignment readingOrder="0"/>
    </xf>
    <xf borderId="1" fillId="0" fontId="4" numFmtId="166" xfId="0" applyBorder="1" applyFont="1" applyNumberFormat="1"/>
    <xf borderId="1" fillId="2" fontId="2" numFmtId="0" xfId="0" applyAlignment="1" applyBorder="1" applyFill="1" applyFont="1">
      <alignment horizontal="left" readingOrder="0"/>
    </xf>
    <xf borderId="1" fillId="0" fontId="6" numFmtId="166" xfId="0" applyAlignment="1" applyBorder="1" applyFont="1" applyNumberFormat="1">
      <alignment readingOrder="0"/>
    </xf>
    <xf borderId="0" fillId="0" fontId="6" numFmtId="0" xfId="0" applyFont="1"/>
    <xf borderId="1" fillId="0" fontId="6" numFmtId="0" xfId="0" applyBorder="1" applyFont="1"/>
    <xf borderId="1" fillId="0" fontId="8" numFmtId="0" xfId="0" applyAlignment="1" applyBorder="1" applyFont="1">
      <alignment shrinkToFit="0" wrapText="0"/>
    </xf>
    <xf borderId="1" fillId="0" fontId="8" numFmtId="164" xfId="0" applyAlignment="1" applyBorder="1" applyFont="1" applyNumberFormat="1">
      <alignment readingOrder="0" shrinkToFit="0" wrapText="0"/>
    </xf>
    <xf borderId="1" fillId="0" fontId="8" numFmtId="10" xfId="0" applyAlignment="1" applyBorder="1" applyFont="1" applyNumberFormat="1">
      <alignment readingOrder="0" shrinkToFit="0" wrapText="0"/>
    </xf>
    <xf borderId="1" fillId="0" fontId="4" numFmtId="164" xfId="0" applyAlignment="1" applyBorder="1" applyFont="1" applyNumberFormat="1">
      <alignment horizontal="right" readingOrder="0"/>
    </xf>
    <xf borderId="1" fillId="0" fontId="8" numFmtId="164" xfId="0" applyAlignment="1" applyBorder="1" applyFont="1" applyNumberFormat="1">
      <alignment horizontal="right" readingOrder="0" shrinkToFit="0" wrapText="0"/>
    </xf>
    <xf borderId="1" fillId="0" fontId="8" numFmtId="165" xfId="0" applyAlignment="1" applyBorder="1" applyFont="1" applyNumberFormat="1">
      <alignment readingOrder="0"/>
    </xf>
    <xf borderId="1" fillId="0" fontId="4" numFmtId="164" xfId="0" applyAlignment="1" applyBorder="1" applyFont="1" applyNumberFormat="1">
      <alignment horizontal="right"/>
    </xf>
    <xf borderId="1" fillId="0" fontId="8" numFmtId="164" xfId="0" applyAlignment="1" applyBorder="1" applyFont="1" applyNumberFormat="1">
      <alignment shrinkToFit="0" wrapText="0"/>
    </xf>
    <xf borderId="1" fillId="0" fontId="4" numFmtId="0" xfId="0" applyAlignment="1" applyBorder="1" applyFont="1">
      <alignment horizontal="right" readingOrder="0"/>
    </xf>
    <xf borderId="1" fillId="0" fontId="4" numFmtId="167" xfId="0" applyBorder="1" applyFont="1" applyNumberFormat="1"/>
    <xf borderId="1" fillId="0" fontId="4" numFmtId="1" xfId="0" applyBorder="1" applyFont="1" applyNumberFormat="1"/>
    <xf borderId="1" fillId="0" fontId="4" numFmtId="165" xfId="0" applyAlignment="1" applyBorder="1" applyFont="1" applyNumberFormat="1">
      <alignment horizontal="right" readingOrder="0"/>
    </xf>
    <xf borderId="1" fillId="0" fontId="4" numFmtId="165" xfId="0" applyBorder="1" applyFont="1" applyNumberFormat="1"/>
    <xf borderId="1" fillId="0" fontId="8" numFmtId="165" xfId="0" applyAlignment="1" applyBorder="1" applyFont="1" applyNumberFormat="1">
      <alignment readingOrder="0"/>
    </xf>
    <xf borderId="1" fillId="0" fontId="4" numFmtId="167" xfId="0" applyBorder="1" applyFont="1" applyNumberFormat="1"/>
    <xf borderId="1" fillId="0" fontId="4" numFmtId="168" xfId="0" applyBorder="1" applyFont="1" applyNumberFormat="1"/>
    <xf borderId="1" fillId="0" fontId="8" numFmtId="165" xfId="0" applyAlignment="1" applyBorder="1" applyFont="1" applyNumberFormat="1">
      <alignment readingOrder="0"/>
    </xf>
    <xf borderId="1" fillId="0" fontId="2" numFmtId="10" xfId="0" applyAlignment="1" applyBorder="1" applyFont="1" applyNumberFormat="1">
      <alignment readingOrder="0"/>
    </xf>
    <xf borderId="1" fillId="0" fontId="8" numFmtId="168" xfId="0" applyAlignment="1" applyBorder="1" applyFont="1" applyNumberFormat="1">
      <alignment readingOrder="0" shrinkToFit="0" wrapText="0"/>
    </xf>
    <xf borderId="0" fillId="0" fontId="4" numFmtId="4" xfId="0" applyFont="1" applyNumberFormat="1"/>
    <xf borderId="0" fillId="0" fontId="4" numFmtId="0" xfId="0" applyAlignment="1" applyFont="1">
      <alignment readingOrder="0"/>
    </xf>
    <xf borderId="1" fillId="0" fontId="4" numFmtId="10" xfId="0" applyBorder="1" applyFont="1" applyNumberFormat="1"/>
    <xf borderId="1" fillId="0" fontId="6" numFmtId="168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1.0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0" customHeight="1">
      <c r="A2" s="5" t="s">
        <v>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1.0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0" customHeight="1">
      <c r="A4" s="1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0" customHeight="1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0" customHeight="1">
      <c r="A6" s="5" t="s">
        <v>6</v>
      </c>
      <c r="B6" s="3"/>
      <c r="C6" s="7"/>
      <c r="D6" s="7" t="s">
        <v>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0" customHeight="1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0" customHeight="1">
      <c r="A8" s="1" t="s">
        <v>10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0" customHeight="1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0" customHeight="1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1.0" customHeight="1">
      <c r="A12" s="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1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1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1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1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1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1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1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1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1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1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1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1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1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1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1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1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1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1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1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1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1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1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1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1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1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1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1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1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1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1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1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1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1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1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1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1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1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1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1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1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1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1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1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1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1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1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1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1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1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1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1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1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1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1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1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1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1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1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1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1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1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1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1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1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1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1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1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1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1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1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1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1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1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1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1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1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1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1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1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1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1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1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1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1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1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1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1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1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1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1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1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1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1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1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1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1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1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1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1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1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1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1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1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1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1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1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1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1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1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1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1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1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1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1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1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1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1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1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1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1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1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1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1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1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1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1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1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1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1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1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1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1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1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1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1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1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1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1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1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1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1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1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1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1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1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1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1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1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1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1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1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1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1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1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1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1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1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1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1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1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1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1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1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1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1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1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1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1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1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1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1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1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1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1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1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1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1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1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1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1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1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1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1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1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1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1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1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1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1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1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1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1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1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1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1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1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1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1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1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1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1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1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1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1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1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1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1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1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1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1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1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1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1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1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1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1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1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1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1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1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1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1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1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1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1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1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1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1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1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1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1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1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1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1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1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1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1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1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1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1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1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1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1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1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1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1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1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1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1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1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1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1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1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1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1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1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1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1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1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1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1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1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1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1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1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1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1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1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1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1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1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1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1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1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1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1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1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1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1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1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1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1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1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1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1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1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1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1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1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1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1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1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1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1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1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1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1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1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1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1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1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1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1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1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1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1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1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1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1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1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1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1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1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1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1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1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1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1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1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1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1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1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1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1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1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1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1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1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1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1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1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1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1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1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1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1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1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1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1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1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1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1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1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1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1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1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1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1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1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1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1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1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1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1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1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1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1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1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1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1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1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1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1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1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1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1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1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1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1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1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1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1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1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1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1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1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1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1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1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1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1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1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1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1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1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1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1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1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1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1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1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1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1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1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1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1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1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1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1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1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1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1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1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1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1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1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1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1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1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1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1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1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1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1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1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1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1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1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1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1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1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1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1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1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1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1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1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1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1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1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1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1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1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1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1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1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1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1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1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1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1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1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1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1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1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1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1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1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1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1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1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1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1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1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1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1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1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1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1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1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1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1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1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1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1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1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1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1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1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1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1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1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1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1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1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1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1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1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1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1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1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1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1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1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1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1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1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1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1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1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1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1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1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1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1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1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1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1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1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1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1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1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1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1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1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1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1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1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1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1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1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1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1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1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1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1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1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1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1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1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1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1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1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1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1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1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1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1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1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1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1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1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1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1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1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1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1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1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1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1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1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1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1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1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1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1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1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1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1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1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1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1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1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1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1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1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1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1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1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1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1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1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1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1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1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1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1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1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1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1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1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1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1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1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1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1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1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1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1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1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1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1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1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1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1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1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1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1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1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1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1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1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1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1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1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1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1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1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1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1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1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1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1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1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1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1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1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1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1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1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1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1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1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1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1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1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1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1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1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1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1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1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1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1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1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1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1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1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1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1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1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1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1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1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1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1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1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1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1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1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1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1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1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1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1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1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1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1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1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1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1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1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1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1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1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1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1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1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1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1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1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1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1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1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1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1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1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1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1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1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1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1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1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1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1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1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1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1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1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1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1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1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1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1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1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1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1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1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1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1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1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1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1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1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1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1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1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1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1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1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1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1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1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1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1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1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1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1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1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1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1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1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1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1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1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1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1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1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1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1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1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1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1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1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1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1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1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1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1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1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1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1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1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1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1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1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1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1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1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1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1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1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1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1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1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1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1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1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1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1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1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1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1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1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1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1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1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1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1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1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1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1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1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1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1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1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1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1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1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1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1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1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1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1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1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1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1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1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1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1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1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1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1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1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1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1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1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1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1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1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1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1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1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1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1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1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1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1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1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1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1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1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1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1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1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1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1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1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1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1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1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1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1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1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1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1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1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1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1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1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1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1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1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1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1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1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1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1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1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1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1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1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1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1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1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1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1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1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1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1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1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1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1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1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1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1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1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1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1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1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1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1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1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1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1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1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1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1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1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1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1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1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1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1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1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1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1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1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1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1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1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1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1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1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1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1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1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1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1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1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1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1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1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1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1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1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1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1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1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1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1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1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1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1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1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1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1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1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1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1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1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1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1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1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1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1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1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1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1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1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1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1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1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1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1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1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1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1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1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1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1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1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1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1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1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1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1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1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1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1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1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1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1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1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1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1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1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1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1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1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1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1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1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1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1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1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1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1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1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1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1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1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1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1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1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1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1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1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1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1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1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1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1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1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1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1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1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1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1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1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14</v>
      </c>
      <c r="B3" s="9">
        <v>2022.0</v>
      </c>
      <c r="C3" s="10">
        <v>2023.0</v>
      </c>
      <c r="D3" s="10">
        <v>2024.0</v>
      </c>
      <c r="E3" s="10">
        <v>2025.0</v>
      </c>
      <c r="F3" s="12" t="s">
        <v>15</v>
      </c>
      <c r="G3" s="12" t="s">
        <v>16</v>
      </c>
      <c r="H3" s="12" t="s">
        <v>17</v>
      </c>
      <c r="I3" s="12" t="s">
        <v>18</v>
      </c>
      <c r="J3" s="12" t="s">
        <v>19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8"/>
      <c r="B4" s="13"/>
      <c r="C4" s="13"/>
      <c r="D4" s="13"/>
      <c r="E4" s="13"/>
      <c r="F4" s="13"/>
      <c r="G4" s="13"/>
      <c r="H4" s="13"/>
      <c r="I4" s="13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23</v>
      </c>
      <c r="B5" s="20" t="str">
        <f>'Income Statement'!B5</f>
        <v>—</v>
      </c>
      <c r="C5" s="21">
        <f>'Income Statement'!C5</f>
        <v>0.06394753976</v>
      </c>
      <c r="D5" s="21">
        <f>'Income Statement'!D5</f>
        <v>0.02856580845</v>
      </c>
      <c r="E5" s="21">
        <f>'Income Statement'!E5</f>
        <v>0.01869913516</v>
      </c>
      <c r="F5" s="22">
        <v>0.05</v>
      </c>
      <c r="G5" s="22">
        <v>0.045</v>
      </c>
      <c r="H5" s="22">
        <v>0.04</v>
      </c>
      <c r="I5" s="22">
        <v>0.035</v>
      </c>
      <c r="J5" s="22">
        <v>0.03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 t="s">
        <v>35</v>
      </c>
      <c r="B6" s="21">
        <f>'Income Statement'!B6/'Income Statement'!B4</f>
        <v>0.4185657148</v>
      </c>
      <c r="C6" s="21">
        <f>'Income Statement'!C6/'Income Statement'!C4</f>
        <v>0.4047733531</v>
      </c>
      <c r="D6" s="21">
        <f>'Income Statement'!D6/'Income Statement'!D4</f>
        <v>0.3893669918</v>
      </c>
      <c r="E6" s="21">
        <f>'Income Statement'!E6/'Income Statement'!E4</f>
        <v>0.3837425168</v>
      </c>
      <c r="F6" s="22">
        <v>0.38</v>
      </c>
      <c r="G6" s="22">
        <v>0.38</v>
      </c>
      <c r="H6" s="22">
        <v>0.38</v>
      </c>
      <c r="I6" s="22">
        <v>0.38</v>
      </c>
      <c r="J6" s="22">
        <v>0.38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 t="s">
        <v>40</v>
      </c>
      <c r="B7" s="21">
        <f>'Income Statement'!B9/'Income Statement'!B4</f>
        <v>0.2995070226</v>
      </c>
      <c r="C7" s="21">
        <f>'Income Statement'!C9/'Income Statement'!C4</f>
        <v>0.3053722079</v>
      </c>
      <c r="D7" s="21">
        <f>'Income Statement'!D9/'Income Statement'!D4</f>
        <v>0.3098531693</v>
      </c>
      <c r="E7" s="21">
        <f>'Income Statement'!E9/'Income Statement'!E4</f>
        <v>0.3028931395</v>
      </c>
      <c r="F7" s="22">
        <v>0.3</v>
      </c>
      <c r="G7" s="22">
        <v>0.3</v>
      </c>
      <c r="H7" s="22">
        <v>0.3</v>
      </c>
      <c r="I7" s="22">
        <v>0.3</v>
      </c>
      <c r="J7" s="22">
        <v>0.3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47</v>
      </c>
      <c r="B8" s="21">
        <f>'Income Statement'!B10/'Income Statement'!B4</f>
        <v>0.02825318575</v>
      </c>
      <c r="C8" s="21">
        <f>'Income Statement'!C10/'Income Statement'!C4</f>
        <v>0.04264108056</v>
      </c>
      <c r="D8" s="21">
        <f>'Income Statement'!D10/'Income Statement'!D4</f>
        <v>0.08845965874</v>
      </c>
      <c r="E8" s="21">
        <f>'Income Statement'!E10/'Income Statement'!E4</f>
        <v>0.02630316431</v>
      </c>
      <c r="F8" s="22">
        <v>0.03</v>
      </c>
      <c r="G8" s="22">
        <v>0.03</v>
      </c>
      <c r="H8" s="22">
        <v>0.03</v>
      </c>
      <c r="I8" s="22">
        <v>0.03</v>
      </c>
      <c r="J8" s="22">
        <v>0.03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 t="s">
        <v>52</v>
      </c>
      <c r="B9" s="21">
        <f>'Income Statement'!B18/'Income Statement'!B17</f>
        <v>0.180985795</v>
      </c>
      <c r="C9" s="21">
        <f>'Income Statement'!C18/'Income Statement'!C17</f>
        <v>0.1736411365</v>
      </c>
      <c r="D9" s="21">
        <f>'Income Statement'!D18/'Income Statement'!D17</f>
        <v>0.1862295583</v>
      </c>
      <c r="E9" s="21">
        <f>'Income Statement'!E18/'Income Statement'!E17</f>
        <v>0.1788348544</v>
      </c>
      <c r="F9" s="22">
        <v>0.199</v>
      </c>
      <c r="G9" s="22">
        <v>0.2</v>
      </c>
      <c r="H9" s="22">
        <v>0.2</v>
      </c>
      <c r="I9" s="22">
        <v>0.2</v>
      </c>
      <c r="J9" s="22">
        <v>0.2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 t="s">
        <v>58</v>
      </c>
      <c r="B10" s="21">
        <f>Historicals!B57/Historicals!B7</f>
        <v>0.02929960004</v>
      </c>
      <c r="C10" s="21">
        <f>Historicals!C57/Historicals!C7</f>
        <v>0.0246535822</v>
      </c>
      <c r="D10" s="21">
        <f>Historicals!D57/Historicals!D7</f>
        <v>0.02284269353</v>
      </c>
      <c r="E10" s="21">
        <f>Historicals!E57/Historicals!E7</f>
        <v>0.02190192111</v>
      </c>
      <c r="F10" s="22">
        <v>0.022</v>
      </c>
      <c r="G10" s="22">
        <v>0.022</v>
      </c>
      <c r="H10" s="22">
        <v>0.022</v>
      </c>
      <c r="I10" s="22">
        <v>0.022</v>
      </c>
      <c r="J10" s="22">
        <v>0.022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 t="s">
        <v>67</v>
      </c>
      <c r="B11" s="21">
        <f>-Historicals!B72/Historicals!B7</f>
        <v>0.03450841782</v>
      </c>
      <c r="C11" s="21">
        <f>-Historicals!C72/Historicals!C7</f>
        <v>0.04047733531</v>
      </c>
      <c r="D11" s="21">
        <f>-Historicals!D72/Historicals!D7</f>
        <v>0.04385797157</v>
      </c>
      <c r="E11" s="21">
        <f>-Historicals!E72/Historicals!E7</f>
        <v>0.04405414989</v>
      </c>
      <c r="F11" s="22">
        <v>0.044</v>
      </c>
      <c r="G11" s="22">
        <v>0.044</v>
      </c>
      <c r="H11" s="22">
        <v>0.044</v>
      </c>
      <c r="I11" s="22">
        <v>0.044</v>
      </c>
      <c r="J11" s="22">
        <v>0.044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 t="s">
        <v>75</v>
      </c>
      <c r="B12" s="21">
        <f>-Historicals!B82/'Income Statement'!B20</f>
        <v>0.7957371226</v>
      </c>
      <c r="C12" s="21">
        <f>-Historicals!C82/'Income Statement'!C20</f>
        <v>0.742969261</v>
      </c>
      <c r="D12" s="21">
        <f>-Historicals!D82/'Income Statement'!D20</f>
        <v>0.7849563339</v>
      </c>
      <c r="E12" s="21">
        <f>-Historicals!E82/'Income Statement'!E20</f>
        <v>0.6682652051</v>
      </c>
      <c r="F12" s="22">
        <v>0.67</v>
      </c>
      <c r="G12" s="22">
        <v>0.67</v>
      </c>
      <c r="H12" s="22">
        <v>0.67</v>
      </c>
      <c r="I12" s="22">
        <v>0.67</v>
      </c>
      <c r="J12" s="22">
        <v>0.67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1.75"/>
  </cols>
  <sheetData>
    <row r="1">
      <c r="A1" s="2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2" t="s">
        <v>9</v>
      </c>
      <c r="C4" s="2" t="s">
        <v>11</v>
      </c>
      <c r="D4" s="8" t="s">
        <v>12</v>
      </c>
      <c r="E4" s="8" t="s">
        <v>13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3</v>
      </c>
      <c r="B6" s="13"/>
      <c r="C6" s="13"/>
      <c r="D6" s="13"/>
      <c r="E6" s="1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6" t="s">
        <v>21</v>
      </c>
      <c r="B7" s="17">
        <v>43004.0</v>
      </c>
      <c r="C7" s="17">
        <v>45754.0</v>
      </c>
      <c r="D7" s="17">
        <v>47061.0</v>
      </c>
      <c r="E7" s="17">
        <v>47941.0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6" t="s">
        <v>22</v>
      </c>
      <c r="B8" s="17">
        <v>18000.0</v>
      </c>
      <c r="C8" s="17">
        <v>18520.0</v>
      </c>
      <c r="D8" s="17">
        <v>18324.0</v>
      </c>
      <c r="E8" s="17">
        <v>18397.0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6" t="s">
        <v>24</v>
      </c>
      <c r="B9" s="17">
        <v>25004.0</v>
      </c>
      <c r="C9" s="17">
        <v>27234.0</v>
      </c>
      <c r="D9" s="17">
        <v>28737.0</v>
      </c>
      <c r="E9" s="17">
        <v>29544.0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6" t="s">
        <v>25</v>
      </c>
      <c r="B10" s="17">
        <v>12880.0</v>
      </c>
      <c r="C10" s="17">
        <v>13972.0</v>
      </c>
      <c r="D10" s="17">
        <v>14582.0</v>
      </c>
      <c r="E10" s="17">
        <v>14521.0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 t="s">
        <v>26</v>
      </c>
      <c r="B11" s="17">
        <v>1215.0</v>
      </c>
      <c r="C11" s="17">
        <v>1951.0</v>
      </c>
      <c r="D11" s="17">
        <v>4163.0</v>
      </c>
      <c r="E11" s="17">
        <v>1261.0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6" t="s">
        <v>27</v>
      </c>
      <c r="B12" s="17">
        <v>10909.0</v>
      </c>
      <c r="C12" s="17">
        <v>11311.0</v>
      </c>
      <c r="D12" s="17">
        <v>9992.0</v>
      </c>
      <c r="E12" s="17">
        <v>13762.0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6" t="s">
        <v>28</v>
      </c>
      <c r="B13" s="16">
        <v>449.0</v>
      </c>
      <c r="C13" s="16">
        <v>907.0</v>
      </c>
      <c r="D13" s="16">
        <v>988.0</v>
      </c>
      <c r="E13" s="16">
        <v>786.0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6" t="s">
        <v>29</v>
      </c>
      <c r="B14" s="16">
        <v>882.0</v>
      </c>
      <c r="C14" s="17">
        <v>1527.0</v>
      </c>
      <c r="D14" s="17">
        <v>1656.0</v>
      </c>
      <c r="E14" s="17">
        <v>1654.0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6" t="s">
        <v>30</v>
      </c>
      <c r="B15" s="17">
        <v>1472.0</v>
      </c>
      <c r="C15" s="17">
        <v>1691.0</v>
      </c>
      <c r="D15" s="17">
        <v>1770.0</v>
      </c>
      <c r="E15" s="17">
        <v>2031.0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6" t="s">
        <v>31</v>
      </c>
      <c r="B16" s="16">
        <v>-262.0</v>
      </c>
      <c r="C16" s="16">
        <v>570.0</v>
      </c>
      <c r="D16" s="17">
        <v>1992.0</v>
      </c>
      <c r="E16" s="17">
        <v>1073.0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6" t="s">
        <v>32</v>
      </c>
      <c r="B17" s="17">
        <v>11686.0</v>
      </c>
      <c r="C17" s="17">
        <v>12952.0</v>
      </c>
      <c r="D17" s="17">
        <v>13086.0</v>
      </c>
      <c r="E17" s="17">
        <v>15998.0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6" t="s">
        <v>33</v>
      </c>
      <c r="B18" s="17">
        <v>2115.0</v>
      </c>
      <c r="C18" s="17">
        <v>2249.0</v>
      </c>
      <c r="D18" s="17">
        <v>2437.0</v>
      </c>
      <c r="E18" s="17">
        <v>2861.0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6" t="s">
        <v>34</v>
      </c>
      <c r="B19" s="17">
        <v>9571.0</v>
      </c>
      <c r="C19" s="17">
        <v>10703.0</v>
      </c>
      <c r="D19" s="17">
        <v>10649.0</v>
      </c>
      <c r="E19" s="17">
        <v>13137.0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2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6" t="s">
        <v>37</v>
      </c>
      <c r="B22" s="13"/>
      <c r="C22" s="13"/>
      <c r="D22" s="13"/>
      <c r="E22" s="13"/>
      <c r="F22" s="4"/>
      <c r="G22" s="4"/>
      <c r="H22" s="4"/>
      <c r="I22" s="4"/>
      <c r="J22" s="27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5" t="s">
        <v>38</v>
      </c>
      <c r="B23" s="29">
        <v>9519.0</v>
      </c>
      <c r="C23" s="29">
        <v>9366.0</v>
      </c>
      <c r="D23" s="29">
        <v>10828.0</v>
      </c>
      <c r="E23" s="29">
        <v>10270.0</v>
      </c>
      <c r="F23" s="4"/>
      <c r="G23" s="4"/>
      <c r="H23" s="4"/>
      <c r="I23" s="4"/>
      <c r="J23" s="27"/>
      <c r="K23" s="2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5" t="s">
        <v>41</v>
      </c>
      <c r="B24" s="29">
        <v>1043.0</v>
      </c>
      <c r="C24" s="29">
        <v>2997.0</v>
      </c>
      <c r="D24" s="29">
        <v>2020.0</v>
      </c>
      <c r="E24" s="29">
        <v>3602.0</v>
      </c>
      <c r="F24" s="4"/>
      <c r="G24" s="4"/>
      <c r="H24" s="4"/>
      <c r="I24" s="4"/>
      <c r="J24" s="27"/>
      <c r="K24" s="27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5" t="s">
        <v>42</v>
      </c>
      <c r="B25" s="29">
        <v>1069.0</v>
      </c>
      <c r="C25" s="29">
        <v>1300.0</v>
      </c>
      <c r="D25" s="29">
        <v>1723.0</v>
      </c>
      <c r="E25" s="29">
        <v>1934.0</v>
      </c>
      <c r="F25" s="4"/>
      <c r="G25" s="4"/>
      <c r="H25" s="4"/>
      <c r="I25" s="4"/>
      <c r="J25" s="27"/>
      <c r="K25" s="27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5" t="s">
        <v>43</v>
      </c>
      <c r="B26" s="29">
        <v>3487.0</v>
      </c>
      <c r="C26" s="29">
        <v>3410.0</v>
      </c>
      <c r="D26" s="29">
        <v>3569.0</v>
      </c>
      <c r="E26" s="29">
        <v>3038.0</v>
      </c>
      <c r="F26" s="4"/>
      <c r="G26" s="4"/>
      <c r="H26" s="4"/>
      <c r="I26" s="4"/>
      <c r="J26" s="27"/>
      <c r="K26" s="27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5" t="s">
        <v>44</v>
      </c>
      <c r="B27" s="29">
        <v>4233.0</v>
      </c>
      <c r="C27" s="29">
        <v>4424.0</v>
      </c>
      <c r="D27" s="29">
        <v>4728.0</v>
      </c>
      <c r="E27" s="29">
        <v>4425.0</v>
      </c>
      <c r="F27" s="4"/>
      <c r="G27" s="4"/>
      <c r="H27" s="4"/>
      <c r="I27" s="4"/>
      <c r="J27" s="27"/>
      <c r="K27" s="27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5" t="s">
        <v>45</v>
      </c>
      <c r="B28" s="29">
        <v>3240.0</v>
      </c>
      <c r="C28" s="29">
        <v>5235.0</v>
      </c>
      <c r="D28" s="15">
        <v>2998.0</v>
      </c>
      <c r="E28" s="29">
        <v>2433.0</v>
      </c>
      <c r="F28" s="4"/>
      <c r="G28" s="4"/>
      <c r="H28" s="4"/>
      <c r="I28" s="4"/>
      <c r="J28" s="8"/>
      <c r="K28" s="8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5" t="s">
        <v>46</v>
      </c>
      <c r="B29" s="30" t="s">
        <v>36</v>
      </c>
      <c r="C29" s="30" t="s">
        <v>36</v>
      </c>
      <c r="D29" s="15">
        <v>131.0</v>
      </c>
      <c r="E29" s="29">
        <v>5342.0</v>
      </c>
      <c r="F29" s="4"/>
      <c r="G29" s="4"/>
      <c r="H29" s="4"/>
      <c r="I29" s="4"/>
      <c r="J29" s="27"/>
      <c r="K29" s="27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6" t="s">
        <v>48</v>
      </c>
      <c r="B30" s="31">
        <v>22591.0</v>
      </c>
      <c r="C30" s="31">
        <v>26732.0</v>
      </c>
      <c r="D30" s="31">
        <v>25997.0</v>
      </c>
      <c r="E30" s="31">
        <v>31044.0</v>
      </c>
      <c r="F30" s="4"/>
      <c r="G30" s="4"/>
      <c r="H30" s="4"/>
      <c r="I30" s="4"/>
      <c r="J30" s="27"/>
      <c r="K30" s="27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5" t="s">
        <v>49</v>
      </c>
      <c r="B31" s="29">
        <v>18264.0</v>
      </c>
      <c r="C31" s="29">
        <v>19671.0</v>
      </c>
      <c r="D31" s="29">
        <v>18087.0</v>
      </c>
      <c r="E31" s="29">
        <v>20235.0</v>
      </c>
      <c r="F31" s="4"/>
      <c r="G31" s="4"/>
      <c r="H31" s="4"/>
      <c r="I31" s="4"/>
      <c r="J31" s="27"/>
      <c r="K31" s="27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5" t="s">
        <v>51</v>
      </c>
      <c r="B32" s="29">
        <v>1746.0</v>
      </c>
      <c r="C32" s="29">
        <v>1561.0</v>
      </c>
      <c r="D32" s="29">
        <v>1319.0</v>
      </c>
      <c r="E32" s="29">
        <v>1206.0</v>
      </c>
      <c r="F32" s="4"/>
      <c r="G32" s="4"/>
      <c r="H32" s="4"/>
      <c r="I32" s="4"/>
      <c r="J32" s="27"/>
      <c r="K32" s="27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5" t="s">
        <v>53</v>
      </c>
      <c r="B33" s="29">
        <v>9841.0</v>
      </c>
      <c r="C33" s="29">
        <v>9236.0</v>
      </c>
      <c r="D33" s="29">
        <v>10303.0</v>
      </c>
      <c r="E33" s="29">
        <v>9613.0</v>
      </c>
      <c r="F33" s="4"/>
      <c r="G33" s="4"/>
      <c r="H33" s="4"/>
      <c r="I33" s="4"/>
      <c r="J33" s="27"/>
      <c r="K33" s="27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5" t="s">
        <v>54</v>
      </c>
      <c r="B34" s="29">
        <v>14214.0</v>
      </c>
      <c r="C34" s="29">
        <v>14349.0</v>
      </c>
      <c r="D34" s="29">
        <v>13301.0</v>
      </c>
      <c r="E34" s="29">
        <v>12531.0</v>
      </c>
      <c r="F34" s="4"/>
      <c r="G34" s="4"/>
      <c r="H34" s="4"/>
      <c r="I34" s="4"/>
      <c r="J34" s="27"/>
      <c r="K34" s="8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5" t="s">
        <v>55</v>
      </c>
      <c r="B35" s="29">
        <v>18782.0</v>
      </c>
      <c r="C35" s="29">
        <v>18358.0</v>
      </c>
      <c r="D35" s="29">
        <v>18139.0</v>
      </c>
      <c r="E35" s="29">
        <v>15491.0</v>
      </c>
      <c r="F35" s="4"/>
      <c r="G35" s="4"/>
      <c r="H35" s="4"/>
      <c r="I35" s="4"/>
      <c r="J35" s="8"/>
      <c r="K35" s="8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5" t="s">
        <v>56</v>
      </c>
      <c r="B36" s="29">
        <v>7325.0</v>
      </c>
      <c r="C36" s="29">
        <v>7796.0</v>
      </c>
      <c r="D36" s="29">
        <v>13403.0</v>
      </c>
      <c r="E36" s="29">
        <v>14696.0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6" t="s">
        <v>57</v>
      </c>
      <c r="B37" s="31">
        <v>92763.0</v>
      </c>
      <c r="C37" s="31">
        <v>97703.0</v>
      </c>
      <c r="D37" s="31">
        <v>100549.0</v>
      </c>
      <c r="E37" s="31">
        <v>104816.0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5" t="s">
        <v>59</v>
      </c>
      <c r="B38" s="29">
        <v>15749.0</v>
      </c>
      <c r="C38" s="29">
        <v>15485.0</v>
      </c>
      <c r="D38" s="29">
        <v>21712.0</v>
      </c>
      <c r="E38" s="29">
        <v>14813.0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5" t="s">
        <v>60</v>
      </c>
      <c r="B39" s="29">
        <v>2373.0</v>
      </c>
      <c r="C39" s="29">
        <v>4557.0</v>
      </c>
      <c r="D39" s="29">
        <v>1499.0</v>
      </c>
      <c r="E39" s="29">
        <v>1551.0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5" t="s">
        <v>61</v>
      </c>
      <c r="B40" s="15">
        <v>399.0</v>
      </c>
      <c r="C40" s="29">
        <v>1960.0</v>
      </c>
      <c r="D40" s="15">
        <v>648.0</v>
      </c>
      <c r="E40" s="29">
        <v>1822.0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5" t="s">
        <v>62</v>
      </c>
      <c r="B41" s="29">
        <v>1203.0</v>
      </c>
      <c r="C41" s="29">
        <v>1569.0</v>
      </c>
      <c r="D41" s="29">
        <v>1387.0</v>
      </c>
      <c r="E41" s="15">
        <v>525.0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5" t="s">
        <v>63</v>
      </c>
      <c r="B42" s="30" t="s">
        <v>36</v>
      </c>
      <c r="C42" s="30" t="s">
        <v>36</v>
      </c>
      <c r="D42" s="15">
        <v>3.0</v>
      </c>
      <c r="E42" s="29">
        <v>2570.0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6" t="s">
        <v>64</v>
      </c>
      <c r="B43" s="31">
        <v>19724.0</v>
      </c>
      <c r="C43" s="31">
        <v>23571.0</v>
      </c>
      <c r="D43" s="31">
        <v>25249.0</v>
      </c>
      <c r="E43" s="31">
        <v>21281.0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5" t="s">
        <v>65</v>
      </c>
      <c r="B44" s="29">
        <v>36377.0</v>
      </c>
      <c r="C44" s="29">
        <v>35547.0</v>
      </c>
      <c r="D44" s="29">
        <v>42375.0</v>
      </c>
      <c r="E44" s="29">
        <v>42119.0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5" t="s">
        <v>66</v>
      </c>
      <c r="B45" s="29">
        <v>7922.0</v>
      </c>
      <c r="C45" s="29">
        <v>8466.0</v>
      </c>
      <c r="D45" s="29">
        <v>4084.0</v>
      </c>
      <c r="E45" s="29">
        <v>4735.0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5" t="s">
        <v>68</v>
      </c>
      <c r="B46" s="29">
        <v>2914.0</v>
      </c>
      <c r="C46" s="29">
        <v>2639.0</v>
      </c>
      <c r="D46" s="29">
        <v>2469.0</v>
      </c>
      <c r="E46" s="29">
        <v>2406.0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5" t="s">
        <v>69</v>
      </c>
      <c r="B47" s="29">
        <v>24105.0</v>
      </c>
      <c r="C47" s="29">
        <v>25941.0</v>
      </c>
      <c r="D47" s="29">
        <v>24856.0</v>
      </c>
      <c r="E47" s="29">
        <v>32169.0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5" t="s">
        <v>70</v>
      </c>
      <c r="B48" s="29">
        <v>1721.0</v>
      </c>
      <c r="C48" s="29">
        <v>1539.0</v>
      </c>
      <c r="D48" s="29">
        <v>1516.0</v>
      </c>
      <c r="E48" s="29">
        <v>2106.0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6" t="s">
        <v>71</v>
      </c>
      <c r="B49" s="31">
        <v>25826.0</v>
      </c>
      <c r="C49" s="31">
        <v>27480.0</v>
      </c>
      <c r="D49" s="31">
        <v>26372.0</v>
      </c>
      <c r="E49" s="31">
        <v>34275.0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6" t="s">
        <v>72</v>
      </c>
      <c r="B50" s="31">
        <v>92763.0</v>
      </c>
      <c r="C50" s="31">
        <v>97703.0</v>
      </c>
      <c r="D50" s="31">
        <v>100549.0</v>
      </c>
      <c r="E50" s="31">
        <v>104816.0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" t="s">
        <v>74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/>
      <c r="B54" s="9" t="s">
        <v>9</v>
      </c>
      <c r="C54" s="9" t="s">
        <v>11</v>
      </c>
      <c r="D54" s="26" t="s">
        <v>12</v>
      </c>
      <c r="E54" s="26" t="s">
        <v>13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0" t="s">
        <v>76</v>
      </c>
      <c r="B55" s="13"/>
      <c r="C55" s="13"/>
      <c r="D55" s="13"/>
      <c r="E55" s="1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3" t="s">
        <v>34</v>
      </c>
      <c r="B56" s="34">
        <v>9571.0</v>
      </c>
      <c r="C56" s="34">
        <v>10703.0</v>
      </c>
      <c r="D56" s="34">
        <v>10649.0</v>
      </c>
      <c r="E56" s="34">
        <v>13137.0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3" t="s">
        <v>77</v>
      </c>
      <c r="B57" s="34">
        <v>1260.0</v>
      </c>
      <c r="C57" s="34">
        <v>1128.0</v>
      </c>
      <c r="D57" s="34">
        <v>1075.0</v>
      </c>
      <c r="E57" s="34">
        <v>1050.0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3" t="s">
        <v>78</v>
      </c>
      <c r="B58" s="34">
        <v>356.0</v>
      </c>
      <c r="C58" s="34">
        <v>254.0</v>
      </c>
      <c r="D58" s="34">
        <v>286.0</v>
      </c>
      <c r="E58" s="34">
        <v>279.0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3" t="s">
        <v>79</v>
      </c>
      <c r="B59" s="34">
        <v>-122.0</v>
      </c>
      <c r="C59" s="34">
        <v>-2.0</v>
      </c>
      <c r="D59" s="34">
        <v>-11.0</v>
      </c>
      <c r="E59" s="34">
        <v>517.0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3" t="s">
        <v>80</v>
      </c>
      <c r="B60" s="34">
        <v>-838.0</v>
      </c>
      <c r="C60" s="34">
        <v>-1019.0</v>
      </c>
      <c r="D60" s="34">
        <v>-802.0</v>
      </c>
      <c r="E60" s="34">
        <v>-1038.0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3" t="s">
        <v>81</v>
      </c>
      <c r="B61" s="34">
        <v>203.0</v>
      </c>
      <c r="C61" s="34">
        <v>175.0</v>
      </c>
      <c r="D61" s="34">
        <v>-110.0</v>
      </c>
      <c r="E61" s="34">
        <v>191.0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3" t="s">
        <v>82</v>
      </c>
      <c r="B62" s="34">
        <v>-129.0</v>
      </c>
      <c r="C62" s="34">
        <v>-492.0</v>
      </c>
      <c r="D62" s="34">
        <v>-1737.0</v>
      </c>
      <c r="E62" s="34">
        <v>-713.0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3" t="s">
        <v>26</v>
      </c>
      <c r="B63" s="34">
        <v>1086.0</v>
      </c>
      <c r="C63" s="34">
        <v>1741.0</v>
      </c>
      <c r="D63" s="34">
        <v>4000.0</v>
      </c>
      <c r="E63" s="34">
        <v>1052.0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3" t="s">
        <v>83</v>
      </c>
      <c r="B64" s="34">
        <v>236.0</v>
      </c>
      <c r="C64" s="34">
        <v>-43.0</v>
      </c>
      <c r="D64" s="34">
        <v>-311.0</v>
      </c>
      <c r="E64" s="34">
        <v>141.0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3" t="s">
        <v>84</v>
      </c>
      <c r="B65" s="34">
        <v>-605.0</v>
      </c>
      <c r="C65" s="34">
        <v>-846.0</v>
      </c>
      <c r="D65" s="34">
        <v>-6234.0</v>
      </c>
      <c r="E65" s="34">
        <v>-7208.0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0" t="s">
        <v>85</v>
      </c>
      <c r="B66" s="34">
        <v>11018.0</v>
      </c>
      <c r="C66" s="34">
        <v>11599.0</v>
      </c>
      <c r="D66" s="34">
        <v>6805.0</v>
      </c>
      <c r="E66" s="34">
        <v>7408.0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0" t="s">
        <v>86</v>
      </c>
      <c r="B67" s="35"/>
      <c r="C67" s="35"/>
      <c r="D67" s="35"/>
      <c r="E67" s="3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3" t="s">
        <v>87</v>
      </c>
      <c r="B68" s="34">
        <v>-3751.0</v>
      </c>
      <c r="C68" s="34">
        <v>-6698.0</v>
      </c>
      <c r="D68" s="34">
        <v>-5640.0</v>
      </c>
      <c r="E68" s="34">
        <v>-6160.0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3" t="s">
        <v>88</v>
      </c>
      <c r="B69" s="34">
        <v>4771.0</v>
      </c>
      <c r="C69" s="34">
        <v>4354.0</v>
      </c>
      <c r="D69" s="34">
        <v>6589.0</v>
      </c>
      <c r="E69" s="34">
        <v>4665.0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3" t="s">
        <v>89</v>
      </c>
      <c r="B70" s="34">
        <v>-73.0</v>
      </c>
      <c r="C70" s="34">
        <v>-62.0</v>
      </c>
      <c r="D70" s="34">
        <v>-315.0</v>
      </c>
      <c r="E70" s="34">
        <v>-461.0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3" t="s">
        <v>91</v>
      </c>
      <c r="B71" s="34">
        <v>458.0</v>
      </c>
      <c r="C71" s="34">
        <v>430.0</v>
      </c>
      <c r="D71" s="34">
        <v>3485.0</v>
      </c>
      <c r="E71" s="34">
        <v>3567.0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3" t="s">
        <v>92</v>
      </c>
      <c r="B72" s="34">
        <v>-1484.0</v>
      </c>
      <c r="C72" s="34">
        <v>-1852.0</v>
      </c>
      <c r="D72" s="34">
        <v>-2064.0</v>
      </c>
      <c r="E72" s="34">
        <v>-2112.0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3" t="s">
        <v>93</v>
      </c>
      <c r="B73" s="34">
        <v>75.0</v>
      </c>
      <c r="C73" s="34">
        <v>74.0</v>
      </c>
      <c r="D73" s="34">
        <v>40.0</v>
      </c>
      <c r="E73" s="34">
        <v>13.0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3" t="s">
        <v>95</v>
      </c>
      <c r="B74" s="34">
        <v>-1465.0</v>
      </c>
      <c r="C74" s="34">
        <v>366.0</v>
      </c>
      <c r="D74" s="34">
        <v>235.0</v>
      </c>
      <c r="E74" s="34">
        <v>330.0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3" t="s">
        <v>96</v>
      </c>
      <c r="B75" s="34">
        <v>706.0</v>
      </c>
      <c r="C75" s="34">
        <v>39.0</v>
      </c>
      <c r="D75" s="34">
        <v>194.0</v>
      </c>
      <c r="E75" s="34">
        <v>91.0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0" t="s">
        <v>97</v>
      </c>
      <c r="B76" s="34">
        <v>-763.0</v>
      </c>
      <c r="C76" s="34">
        <v>-3349.0</v>
      </c>
      <c r="D76" s="34">
        <v>2524.0</v>
      </c>
      <c r="E76" s="34">
        <v>-67.0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0" t="s">
        <v>98</v>
      </c>
      <c r="B77" s="35"/>
      <c r="C77" s="35"/>
      <c r="D77" s="35"/>
      <c r="E77" s="3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3" t="s">
        <v>99</v>
      </c>
      <c r="B78" s="34">
        <v>3972.0</v>
      </c>
      <c r="C78" s="34">
        <v>6891.0</v>
      </c>
      <c r="D78" s="34">
        <v>12061.0</v>
      </c>
      <c r="E78" s="34">
        <v>4980.0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3" t="s">
        <v>101</v>
      </c>
      <c r="B79" s="34">
        <v>-4930.0</v>
      </c>
      <c r="C79" s="34">
        <v>-5034.0</v>
      </c>
      <c r="D79" s="34">
        <v>-9533.0</v>
      </c>
      <c r="E79" s="34">
        <v>-4967.0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3" t="s">
        <v>102</v>
      </c>
      <c r="B80" s="34">
        <v>837.0</v>
      </c>
      <c r="C80" s="34">
        <v>539.0</v>
      </c>
      <c r="D80" s="34">
        <v>747.0</v>
      </c>
      <c r="E80" s="34">
        <v>313.0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3" t="s">
        <v>103</v>
      </c>
      <c r="B81" s="34">
        <v>-1418.0</v>
      </c>
      <c r="C81" s="34">
        <v>-2289.0</v>
      </c>
      <c r="D81" s="34">
        <v>-1795.0</v>
      </c>
      <c r="E81" s="34">
        <v>-746.0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3" t="s">
        <v>104</v>
      </c>
      <c r="B82" s="34">
        <v>-7616.0</v>
      </c>
      <c r="C82" s="34">
        <v>-7952.0</v>
      </c>
      <c r="D82" s="34">
        <v>-8359.0</v>
      </c>
      <c r="E82" s="34">
        <v>-8779.0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3" t="s">
        <v>105</v>
      </c>
      <c r="B83" s="34">
        <v>0.0</v>
      </c>
      <c r="C83" s="34">
        <v>0.0</v>
      </c>
      <c r="D83" s="34">
        <v>0.0</v>
      </c>
      <c r="E83" s="34">
        <v>1338.0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3" t="s">
        <v>106</v>
      </c>
      <c r="B84" s="34">
        <v>-1095.0</v>
      </c>
      <c r="C84" s="34">
        <v>-465.0</v>
      </c>
      <c r="D84" s="34">
        <v>-31.0</v>
      </c>
      <c r="E84" s="34">
        <v>-279.0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0" t="s">
        <v>107</v>
      </c>
      <c r="B85" s="34">
        <v>-10250.0</v>
      </c>
      <c r="C85" s="34">
        <v>-8310.0</v>
      </c>
      <c r="D85" s="34">
        <v>-6910.0</v>
      </c>
      <c r="E85" s="34">
        <v>-8140.0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0" t="s">
        <v>108</v>
      </c>
      <c r="B86" s="34">
        <v>-205.0</v>
      </c>
      <c r="C86" s="34">
        <v>-73.0</v>
      </c>
      <c r="D86" s="34">
        <v>-623.0</v>
      </c>
      <c r="E86" s="34">
        <v>321.0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6" t="s">
        <v>109</v>
      </c>
      <c r="B87" s="35"/>
      <c r="C87" s="37"/>
      <c r="D87" s="37"/>
      <c r="E87" s="37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33" t="s">
        <v>110</v>
      </c>
      <c r="B88" s="34">
        <v>-200.0</v>
      </c>
      <c r="C88" s="34">
        <v>-133.0</v>
      </c>
      <c r="D88" s="34">
        <v>1796.0</v>
      </c>
      <c r="E88" s="34">
        <v>-478.0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3" t="s">
        <v>111</v>
      </c>
      <c r="B89" s="34">
        <v>10025.0</v>
      </c>
      <c r="C89" s="34">
        <v>9825.0</v>
      </c>
      <c r="D89" s="34">
        <v>9692.0</v>
      </c>
      <c r="E89" s="34">
        <v>11488.0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0" t="s">
        <v>112</v>
      </c>
      <c r="B90" s="37">
        <v>9825.0</v>
      </c>
      <c r="C90" s="34">
        <v>9692.0</v>
      </c>
      <c r="D90" s="34">
        <v>11488.0</v>
      </c>
      <c r="E90" s="34">
        <v>11010.0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3" t="s">
        <v>113</v>
      </c>
      <c r="B91" s="34">
        <v>306.0</v>
      </c>
      <c r="C91" s="34">
        <v>326.0</v>
      </c>
      <c r="D91" s="34">
        <v>660.0</v>
      </c>
      <c r="E91" s="34">
        <v>740.0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0" t="s">
        <v>114</v>
      </c>
      <c r="B92" s="34">
        <v>9519.0</v>
      </c>
      <c r="C92" s="34">
        <v>9366.0</v>
      </c>
      <c r="D92" s="34">
        <v>10828.0</v>
      </c>
      <c r="E92" s="34">
        <v>10270.0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</cols>
  <sheetData>
    <row r="1">
      <c r="A1" s="6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"/>
      <c r="B3" s="14" t="s">
        <v>9</v>
      </c>
      <c r="C3" s="14" t="s">
        <v>11</v>
      </c>
      <c r="D3" s="14" t="s">
        <v>12</v>
      </c>
      <c r="E3" s="14" t="s">
        <v>13</v>
      </c>
      <c r="F3" s="14" t="s">
        <v>15</v>
      </c>
      <c r="G3" s="14" t="s">
        <v>16</v>
      </c>
      <c r="H3" s="14" t="s">
        <v>17</v>
      </c>
      <c r="I3" s="14" t="s">
        <v>18</v>
      </c>
      <c r="J3" s="14" t="s">
        <v>19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5" t="s">
        <v>20</v>
      </c>
      <c r="B4" s="19">
        <f>Historicals!B7</f>
        <v>43004</v>
      </c>
      <c r="C4" s="19">
        <f>Historicals!C7</f>
        <v>45754</v>
      </c>
      <c r="D4" s="19">
        <f>Historicals!D7</f>
        <v>47061</v>
      </c>
      <c r="E4" s="19">
        <f>Historicals!E7</f>
        <v>47941</v>
      </c>
      <c r="F4" s="19">
        <f>E4*(1+Assumptions!F5)</f>
        <v>50338.05</v>
      </c>
      <c r="G4" s="19">
        <f>F4*(1+Assumptions!G5)</f>
        <v>52603.26225</v>
      </c>
      <c r="H4" s="19">
        <f>G4*(1+Assumptions!H5)</f>
        <v>54707.39274</v>
      </c>
      <c r="I4" s="19">
        <f>H4*(1+Assumptions!I5)</f>
        <v>56622.15149</v>
      </c>
      <c r="J4" s="19">
        <f>I4*(1+Assumptions!J5)</f>
        <v>58320.81603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3" t="s">
        <v>23</v>
      </c>
      <c r="B5" s="24" t="s">
        <v>36</v>
      </c>
      <c r="C5" s="21">
        <f t="shared" ref="C5:E5" si="1">C4/B4-1</f>
        <v>0.06394753976</v>
      </c>
      <c r="D5" s="21">
        <f t="shared" si="1"/>
        <v>0.02856580845</v>
      </c>
      <c r="E5" s="21">
        <f t="shared" si="1"/>
        <v>0.01869913516</v>
      </c>
      <c r="F5" s="21">
        <f>Assumptions!F5</f>
        <v>0.05</v>
      </c>
      <c r="G5" s="21">
        <f>Assumptions!G5</f>
        <v>0.045</v>
      </c>
      <c r="H5" s="21">
        <f>Assumptions!H5</f>
        <v>0.04</v>
      </c>
      <c r="I5" s="21">
        <f>Assumptions!I5</f>
        <v>0.035</v>
      </c>
      <c r="J5" s="21">
        <f>Assumptions!J5</f>
        <v>0.03</v>
      </c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15" t="s">
        <v>39</v>
      </c>
      <c r="B6" s="19">
        <f>Historicals!B8</f>
        <v>18000</v>
      </c>
      <c r="C6" s="19">
        <f>Historicals!C8</f>
        <v>18520</v>
      </c>
      <c r="D6" s="19">
        <f>Historicals!D8</f>
        <v>18324</v>
      </c>
      <c r="E6" s="19">
        <f>Historicals!E8</f>
        <v>18397</v>
      </c>
      <c r="F6" s="19">
        <f>F4*Assumptions!F6</f>
        <v>19128.459</v>
      </c>
      <c r="G6" s="19">
        <f>G4*Assumptions!G6</f>
        <v>19989.23966</v>
      </c>
      <c r="H6" s="19">
        <f>H4*Assumptions!H6</f>
        <v>20788.80924</v>
      </c>
      <c r="I6" s="19">
        <f>I4*Assumptions!I6</f>
        <v>21516.41756</v>
      </c>
      <c r="J6" s="19">
        <f>J4*Assumptions!J6</f>
        <v>22161.91009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 t="s">
        <v>24</v>
      </c>
      <c r="B7" s="19">
        <f>Historicals!B9</f>
        <v>25004</v>
      </c>
      <c r="C7" s="19">
        <f>Historicals!C9</f>
        <v>27234</v>
      </c>
      <c r="D7" s="19">
        <f>Historicals!D9</f>
        <v>28737</v>
      </c>
      <c r="E7" s="19">
        <f>Historicals!E9</f>
        <v>29544</v>
      </c>
      <c r="F7" s="19">
        <f t="shared" ref="F7:J7" si="2">F4-F6</f>
        <v>31209.591</v>
      </c>
      <c r="G7" s="19">
        <f t="shared" si="2"/>
        <v>32614.0226</v>
      </c>
      <c r="H7" s="19">
        <f t="shared" si="2"/>
        <v>33918.5835</v>
      </c>
      <c r="I7" s="19">
        <f t="shared" si="2"/>
        <v>35105.73392</v>
      </c>
      <c r="J7" s="19">
        <f t="shared" si="2"/>
        <v>36158.90594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3" t="s">
        <v>50</v>
      </c>
      <c r="B8" s="21">
        <f t="shared" ref="B8:J8" si="3">B7/B4</f>
        <v>0.5814342852</v>
      </c>
      <c r="C8" s="21">
        <f t="shared" si="3"/>
        <v>0.5952266469</v>
      </c>
      <c r="D8" s="21">
        <f t="shared" si="3"/>
        <v>0.6106330082</v>
      </c>
      <c r="E8" s="21">
        <f t="shared" si="3"/>
        <v>0.6162574832</v>
      </c>
      <c r="F8" s="21">
        <f t="shared" si="3"/>
        <v>0.62</v>
      </c>
      <c r="G8" s="21">
        <f t="shared" si="3"/>
        <v>0.62</v>
      </c>
      <c r="H8" s="21">
        <f t="shared" si="3"/>
        <v>0.62</v>
      </c>
      <c r="I8" s="21">
        <f t="shared" si="3"/>
        <v>0.62</v>
      </c>
      <c r="J8" s="21">
        <f t="shared" si="3"/>
        <v>0.62</v>
      </c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15" t="s">
        <v>25</v>
      </c>
      <c r="B9" s="19">
        <f>Historicals!B10</f>
        <v>12880</v>
      </c>
      <c r="C9" s="19">
        <f>Historicals!C10</f>
        <v>13972</v>
      </c>
      <c r="D9" s="19">
        <f>Historicals!D10</f>
        <v>14582</v>
      </c>
      <c r="E9" s="19">
        <f>Historicals!E10</f>
        <v>14521</v>
      </c>
      <c r="F9" s="19">
        <f>F4*Assumptions!F7</f>
        <v>15101.415</v>
      </c>
      <c r="G9" s="19">
        <f>G4*Assumptions!G7</f>
        <v>15780.97868</v>
      </c>
      <c r="H9" s="19">
        <f>H4*Assumptions!H7</f>
        <v>16412.21782</v>
      </c>
      <c r="I9" s="19">
        <f>I4*Assumptions!I7</f>
        <v>16986.64545</v>
      </c>
      <c r="J9" s="19">
        <f>J4*Assumptions!J7</f>
        <v>17496.24481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 t="s">
        <v>26</v>
      </c>
      <c r="B10" s="32">
        <f>Historicals!B11</f>
        <v>1215</v>
      </c>
      <c r="C10" s="32">
        <f>Historicals!C11</f>
        <v>1951</v>
      </c>
      <c r="D10" s="32">
        <f>Historicals!D11</f>
        <v>4163</v>
      </c>
      <c r="E10" s="32">
        <f>Historicals!E11</f>
        <v>1261</v>
      </c>
      <c r="F10" s="19">
        <f>F4*Assumptions!F8</f>
        <v>1510.1415</v>
      </c>
      <c r="G10" s="19">
        <f>G4*Assumptions!G8</f>
        <v>1578.097868</v>
      </c>
      <c r="H10" s="19">
        <f>H4*Assumptions!H8</f>
        <v>1641.221782</v>
      </c>
      <c r="I10" s="19">
        <f>I4*Assumptions!I8</f>
        <v>1698.664545</v>
      </c>
      <c r="J10" s="19">
        <f>J4*Assumptions!J8</f>
        <v>1749.624481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 t="s">
        <v>27</v>
      </c>
      <c r="B11" s="32">
        <f>Historicals!B12</f>
        <v>10909</v>
      </c>
      <c r="C11" s="32">
        <f>Historicals!C12</f>
        <v>11311</v>
      </c>
      <c r="D11" s="32">
        <f>Historicals!D12</f>
        <v>9992</v>
      </c>
      <c r="E11" s="32">
        <f>Historicals!E12</f>
        <v>13762</v>
      </c>
      <c r="F11" s="19">
        <f t="shared" ref="F11:J11" si="4">F7-F9-F10</f>
        <v>14598.0345</v>
      </c>
      <c r="G11" s="19">
        <f t="shared" si="4"/>
        <v>15254.94605</v>
      </c>
      <c r="H11" s="19">
        <f t="shared" si="4"/>
        <v>15865.14389</v>
      </c>
      <c r="I11" s="19">
        <f t="shared" si="4"/>
        <v>16420.42393</v>
      </c>
      <c r="J11" s="19">
        <f t="shared" si="4"/>
        <v>16913.03665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3" t="s">
        <v>73</v>
      </c>
      <c r="B12" s="21">
        <f t="shared" ref="B12:J12" si="5">B11/B4</f>
        <v>0.2536740768</v>
      </c>
      <c r="C12" s="21">
        <f t="shared" si="5"/>
        <v>0.2472133584</v>
      </c>
      <c r="D12" s="21">
        <f t="shared" si="5"/>
        <v>0.2123201802</v>
      </c>
      <c r="E12" s="21">
        <f t="shared" si="5"/>
        <v>0.2870611794</v>
      </c>
      <c r="F12" s="21">
        <f t="shared" si="5"/>
        <v>0.29</v>
      </c>
      <c r="G12" s="21">
        <f t="shared" si="5"/>
        <v>0.29</v>
      </c>
      <c r="H12" s="21">
        <f t="shared" si="5"/>
        <v>0.29</v>
      </c>
      <c r="I12" s="21">
        <f t="shared" si="5"/>
        <v>0.29</v>
      </c>
      <c r="J12" s="21">
        <f t="shared" si="5"/>
        <v>0.29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15" t="s">
        <v>28</v>
      </c>
      <c r="B13" s="32">
        <f>Historicals!B13</f>
        <v>449</v>
      </c>
      <c r="C13" s="32">
        <f>Historicals!C13</f>
        <v>907</v>
      </c>
      <c r="D13" s="32">
        <f>Historicals!D13</f>
        <v>988</v>
      </c>
      <c r="E13" s="32">
        <f>Historicals!E13</f>
        <v>786</v>
      </c>
      <c r="F13" s="19">
        <f t="shared" ref="F13:J13" si="6">$E$13</f>
        <v>786</v>
      </c>
      <c r="G13" s="19">
        <f t="shared" si="6"/>
        <v>786</v>
      </c>
      <c r="H13" s="19">
        <f t="shared" si="6"/>
        <v>786</v>
      </c>
      <c r="I13" s="19">
        <f t="shared" si="6"/>
        <v>786</v>
      </c>
      <c r="J13" s="19">
        <f t="shared" si="6"/>
        <v>786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 t="s">
        <v>29</v>
      </c>
      <c r="B14" s="32">
        <f>Historicals!B14</f>
        <v>882</v>
      </c>
      <c r="C14" s="32">
        <f>Historicals!C14</f>
        <v>1527</v>
      </c>
      <c r="D14" s="32">
        <f>Historicals!D14</f>
        <v>1656</v>
      </c>
      <c r="E14" s="32">
        <f>Historicals!E14</f>
        <v>1654</v>
      </c>
      <c r="F14" s="19">
        <f>Debt!F11</f>
        <v>1683.204</v>
      </c>
      <c r="G14" s="19">
        <f>Debt!G11</f>
        <v>1683.204</v>
      </c>
      <c r="H14" s="19">
        <f>Debt!H11</f>
        <v>1683.204</v>
      </c>
      <c r="I14" s="19">
        <f>Debt!I11</f>
        <v>1683.204</v>
      </c>
      <c r="J14" s="19">
        <f>Debt!J11</f>
        <v>1683.204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5" t="s">
        <v>90</v>
      </c>
      <c r="B15" s="32">
        <f>Historicals!B15</f>
        <v>1472</v>
      </c>
      <c r="C15" s="32">
        <f>Historicals!C15</f>
        <v>1691</v>
      </c>
      <c r="D15" s="32">
        <f>Historicals!D15</f>
        <v>1770</v>
      </c>
      <c r="E15" s="32">
        <f>Historicals!E15</f>
        <v>2031</v>
      </c>
      <c r="F15" s="19">
        <f t="shared" ref="F15:J15" si="7">$E$15</f>
        <v>2031</v>
      </c>
      <c r="G15" s="19">
        <f t="shared" si="7"/>
        <v>2031</v>
      </c>
      <c r="H15" s="19">
        <f t="shared" si="7"/>
        <v>2031</v>
      </c>
      <c r="I15" s="19">
        <f t="shared" si="7"/>
        <v>2031</v>
      </c>
      <c r="J15" s="19">
        <f t="shared" si="7"/>
        <v>2031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5" t="s">
        <v>94</v>
      </c>
      <c r="B16" s="32">
        <f>Historicals!B16</f>
        <v>-262</v>
      </c>
      <c r="C16" s="32">
        <f>Historicals!C16</f>
        <v>570</v>
      </c>
      <c r="D16" s="32">
        <f>Historicals!D16</f>
        <v>1992</v>
      </c>
      <c r="E16" s="32">
        <f>Historicals!E16</f>
        <v>1073</v>
      </c>
      <c r="F16" s="19">
        <f t="shared" ref="F16:J16" si="8">$E$16</f>
        <v>1073</v>
      </c>
      <c r="G16" s="19">
        <f t="shared" si="8"/>
        <v>1073</v>
      </c>
      <c r="H16" s="19">
        <f t="shared" si="8"/>
        <v>1073</v>
      </c>
      <c r="I16" s="19">
        <f t="shared" si="8"/>
        <v>1073</v>
      </c>
      <c r="J16" s="19">
        <f t="shared" si="8"/>
        <v>1073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5" t="s">
        <v>100</v>
      </c>
      <c r="B17" s="32">
        <f>Historicals!B17</f>
        <v>11686</v>
      </c>
      <c r="C17" s="32">
        <f>Historicals!C17</f>
        <v>12952</v>
      </c>
      <c r="D17" s="32">
        <f>Historicals!D17</f>
        <v>13086</v>
      </c>
      <c r="E17" s="32">
        <f>Historicals!E17</f>
        <v>15998</v>
      </c>
      <c r="F17" s="19">
        <f t="shared" ref="F17:J17" si="9">F11+F13-F14+F15+F16</f>
        <v>16804.8305</v>
      </c>
      <c r="G17" s="19">
        <f t="shared" si="9"/>
        <v>17461.74205</v>
      </c>
      <c r="H17" s="19">
        <f t="shared" si="9"/>
        <v>18071.93989</v>
      </c>
      <c r="I17" s="19">
        <f t="shared" si="9"/>
        <v>18627.21993</v>
      </c>
      <c r="J17" s="19">
        <f t="shared" si="9"/>
        <v>19119.83265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5" t="s">
        <v>33</v>
      </c>
      <c r="B18" s="32">
        <f>Historicals!B18</f>
        <v>2115</v>
      </c>
      <c r="C18" s="32">
        <f>Historicals!C18</f>
        <v>2249</v>
      </c>
      <c r="D18" s="32">
        <f>Historicals!D18</f>
        <v>2437</v>
      </c>
      <c r="E18" s="32">
        <f>Historicals!E18</f>
        <v>2861</v>
      </c>
      <c r="F18" s="19">
        <f>F17*Assumptions!F9</f>
        <v>3344.16127</v>
      </c>
      <c r="G18" s="19">
        <f>G17*Assumptions!G9</f>
        <v>3492.348411</v>
      </c>
      <c r="H18" s="19">
        <f>H17*Assumptions!H9</f>
        <v>3614.387979</v>
      </c>
      <c r="I18" s="19">
        <f>I17*Assumptions!I9</f>
        <v>3725.443986</v>
      </c>
      <c r="J18" s="19">
        <f>J17*Assumptions!J9</f>
        <v>3823.96653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3" t="s">
        <v>52</v>
      </c>
      <c r="B19" s="21">
        <f t="shared" ref="B19:J19" si="10">B18/B17</f>
        <v>0.180985795</v>
      </c>
      <c r="C19" s="21">
        <f t="shared" si="10"/>
        <v>0.1736411365</v>
      </c>
      <c r="D19" s="21">
        <f t="shared" si="10"/>
        <v>0.1862295583</v>
      </c>
      <c r="E19" s="21">
        <f t="shared" si="10"/>
        <v>0.1788348544</v>
      </c>
      <c r="F19" s="21">
        <f t="shared" si="10"/>
        <v>0.199</v>
      </c>
      <c r="G19" s="21">
        <f t="shared" si="10"/>
        <v>0.2</v>
      </c>
      <c r="H19" s="21">
        <f t="shared" si="10"/>
        <v>0.2</v>
      </c>
      <c r="I19" s="21">
        <f t="shared" si="10"/>
        <v>0.2</v>
      </c>
      <c r="J19" s="21">
        <f t="shared" si="10"/>
        <v>0.2</v>
      </c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5" t="s">
        <v>115</v>
      </c>
      <c r="B20" s="32">
        <f>Historicals!B19</f>
        <v>9571</v>
      </c>
      <c r="C20" s="32">
        <f>Historicals!C19</f>
        <v>10703</v>
      </c>
      <c r="D20" s="32">
        <f>Historicals!D19</f>
        <v>10649</v>
      </c>
      <c r="E20" s="32">
        <f>Historicals!E19</f>
        <v>13137</v>
      </c>
      <c r="F20" s="19">
        <f t="shared" ref="F20:J20" si="11">F17-F18</f>
        <v>13460.66923</v>
      </c>
      <c r="G20" s="19">
        <f t="shared" si="11"/>
        <v>13969.39364</v>
      </c>
      <c r="H20" s="19">
        <f t="shared" si="11"/>
        <v>14457.55192</v>
      </c>
      <c r="I20" s="19">
        <f t="shared" si="11"/>
        <v>14901.77594</v>
      </c>
      <c r="J20" s="19">
        <f t="shared" si="11"/>
        <v>15295.86612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</cols>
  <sheetData>
    <row r="1">
      <c r="A1" s="6" t="s">
        <v>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9"/>
      <c r="B3" s="26" t="s">
        <v>9</v>
      </c>
      <c r="C3" s="26" t="s">
        <v>11</v>
      </c>
      <c r="D3" s="26" t="s">
        <v>12</v>
      </c>
      <c r="E3" s="26" t="s">
        <v>13</v>
      </c>
      <c r="F3" s="26" t="s">
        <v>15</v>
      </c>
      <c r="G3" s="26" t="s">
        <v>16</v>
      </c>
      <c r="H3" s="26" t="s">
        <v>17</v>
      </c>
      <c r="I3" s="26" t="s">
        <v>18</v>
      </c>
      <c r="J3" s="26" t="s">
        <v>19</v>
      </c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6" t="s">
        <v>117</v>
      </c>
      <c r="B5" s="40"/>
      <c r="C5" s="13"/>
      <c r="D5" s="13"/>
      <c r="E5" s="13"/>
      <c r="F5" s="13"/>
      <c r="G5" s="13"/>
      <c r="H5" s="13"/>
      <c r="I5" s="13"/>
      <c r="J5" s="1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 t="s">
        <v>38</v>
      </c>
      <c r="B6" s="41">
        <f>Historicals!B23</f>
        <v>9519</v>
      </c>
      <c r="C6" s="41">
        <f>Historicals!C23</f>
        <v>9366</v>
      </c>
      <c r="D6" s="41">
        <f>Historicals!D23</f>
        <v>10828</v>
      </c>
      <c r="E6" s="41">
        <f>Historicals!E23</f>
        <v>10270</v>
      </c>
      <c r="F6" s="19">
        <f>'Cash Flow'!F23</f>
        <v>13971.40681</v>
      </c>
      <c r="G6" s="19">
        <f>'Cash Flow'!G23</f>
        <v>17771.29198</v>
      </c>
      <c r="H6" s="19">
        <f>'Cash Flow'!H23</f>
        <v>21661.28468</v>
      </c>
      <c r="I6" s="19">
        <f>'Cash Flow'!I23</f>
        <v>25626.71592</v>
      </c>
      <c r="J6" s="19">
        <f>'Cash Flow'!J23</f>
        <v>29651.69906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 t="s">
        <v>41</v>
      </c>
      <c r="B7" s="41">
        <f>Historicals!B24</f>
        <v>1043</v>
      </c>
      <c r="C7" s="41">
        <f>Historicals!C24</f>
        <v>2997</v>
      </c>
      <c r="D7" s="41">
        <f>Historicals!D24</f>
        <v>2020</v>
      </c>
      <c r="E7" s="41">
        <f>Historicals!E24</f>
        <v>3602</v>
      </c>
      <c r="F7" s="19">
        <f t="shared" ref="F7:J7" si="1">$E7</f>
        <v>3602</v>
      </c>
      <c r="G7" s="19">
        <f t="shared" si="1"/>
        <v>3602</v>
      </c>
      <c r="H7" s="19">
        <f t="shared" si="1"/>
        <v>3602</v>
      </c>
      <c r="I7" s="19">
        <f t="shared" si="1"/>
        <v>3602</v>
      </c>
      <c r="J7" s="19">
        <f t="shared" si="1"/>
        <v>3602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 t="s">
        <v>42</v>
      </c>
      <c r="B8" s="41">
        <f>Historicals!B25</f>
        <v>1069</v>
      </c>
      <c r="C8" s="41">
        <f>Historicals!C25</f>
        <v>1300</v>
      </c>
      <c r="D8" s="41">
        <f>Historicals!D25</f>
        <v>1723</v>
      </c>
      <c r="E8" s="41">
        <f>Historicals!E25</f>
        <v>1934</v>
      </c>
      <c r="F8" s="19">
        <f t="shared" ref="F8:J8" si="2">$E8</f>
        <v>1934</v>
      </c>
      <c r="G8" s="19">
        <f t="shared" si="2"/>
        <v>1934</v>
      </c>
      <c r="H8" s="19">
        <f t="shared" si="2"/>
        <v>1934</v>
      </c>
      <c r="I8" s="19">
        <f t="shared" si="2"/>
        <v>1934</v>
      </c>
      <c r="J8" s="19">
        <f t="shared" si="2"/>
        <v>1934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 t="s">
        <v>43</v>
      </c>
      <c r="B9" s="41">
        <f>Historicals!B26</f>
        <v>3487</v>
      </c>
      <c r="C9" s="41">
        <f>Historicals!C26</f>
        <v>3410</v>
      </c>
      <c r="D9" s="41">
        <f>Historicals!D26</f>
        <v>3569</v>
      </c>
      <c r="E9" s="41">
        <f>Historicals!E26</f>
        <v>3038</v>
      </c>
      <c r="F9" s="19">
        <f>'Working Capital'!F5</f>
        <v>3191.43237</v>
      </c>
      <c r="G9" s="19">
        <f>'Working Capital'!G5</f>
        <v>3335.046827</v>
      </c>
      <c r="H9" s="19">
        <f>'Working Capital'!H5</f>
        <v>3468.4487</v>
      </c>
      <c r="I9" s="19">
        <f>'Working Capital'!I5</f>
        <v>3589.844404</v>
      </c>
      <c r="J9" s="19">
        <f>'Working Capital'!J5</f>
        <v>3697.539736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 t="s">
        <v>44</v>
      </c>
      <c r="B10" s="41">
        <f>Historicals!B27</f>
        <v>4233</v>
      </c>
      <c r="C10" s="41">
        <f>Historicals!C27</f>
        <v>4424</v>
      </c>
      <c r="D10" s="41">
        <f>Historicals!D27</f>
        <v>4728</v>
      </c>
      <c r="E10" s="41">
        <f>Historicals!E27</f>
        <v>4425</v>
      </c>
      <c r="F10" s="19">
        <f>'Working Capital'!F7</f>
        <v>4646.202015</v>
      </c>
      <c r="G10" s="19">
        <f>'Working Capital'!G7</f>
        <v>4855.281106</v>
      </c>
      <c r="H10" s="19">
        <f>'Working Capital'!H7</f>
        <v>5049.49235</v>
      </c>
      <c r="I10" s="19">
        <f>'Working Capital'!I7</f>
        <v>5226.224582</v>
      </c>
      <c r="J10" s="19">
        <f>'Working Capital'!J7</f>
        <v>5383.01132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 t="s">
        <v>45</v>
      </c>
      <c r="B11" s="41">
        <f>Historicals!B28</f>
        <v>3240</v>
      </c>
      <c r="C11" s="41">
        <f>Historicals!C28</f>
        <v>5235</v>
      </c>
      <c r="D11" s="41">
        <f>Historicals!D28</f>
        <v>2998</v>
      </c>
      <c r="E11" s="41">
        <f>Historicals!E28</f>
        <v>2433</v>
      </c>
      <c r="F11" s="19">
        <f t="shared" ref="F11:J11" si="3">$E11</f>
        <v>2433</v>
      </c>
      <c r="G11" s="19">
        <f t="shared" si="3"/>
        <v>2433</v>
      </c>
      <c r="H11" s="19">
        <f t="shared" si="3"/>
        <v>2433</v>
      </c>
      <c r="I11" s="19">
        <f t="shared" si="3"/>
        <v>2433</v>
      </c>
      <c r="J11" s="19">
        <f t="shared" si="3"/>
        <v>2433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 t="s">
        <v>46</v>
      </c>
      <c r="B12" s="44" t="str">
        <f>Historicals!B29</f>
        <v>—</v>
      </c>
      <c r="C12" s="44" t="str">
        <f>Historicals!C29</f>
        <v>—</v>
      </c>
      <c r="D12" s="44">
        <f>Historicals!D29</f>
        <v>131</v>
      </c>
      <c r="E12" s="44">
        <f>Historicals!E29</f>
        <v>5342</v>
      </c>
      <c r="F12" s="19">
        <f t="shared" ref="F12:J12" si="4">$E12</f>
        <v>5342</v>
      </c>
      <c r="G12" s="19">
        <f t="shared" si="4"/>
        <v>5342</v>
      </c>
      <c r="H12" s="19">
        <f t="shared" si="4"/>
        <v>5342</v>
      </c>
      <c r="I12" s="19">
        <f t="shared" si="4"/>
        <v>5342</v>
      </c>
      <c r="J12" s="19">
        <f t="shared" si="4"/>
        <v>5342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6" t="s">
        <v>48</v>
      </c>
      <c r="B13" s="41">
        <f>Historicals!B30</f>
        <v>22591</v>
      </c>
      <c r="C13" s="41">
        <f>Historicals!C30</f>
        <v>26732</v>
      </c>
      <c r="D13" s="41">
        <f>Historicals!D30</f>
        <v>25997</v>
      </c>
      <c r="E13" s="41">
        <f>Historicals!E30</f>
        <v>31044</v>
      </c>
      <c r="F13" s="19">
        <f t="shared" ref="F13:J13" si="5">SUM(F6:F12)</f>
        <v>35120.0412</v>
      </c>
      <c r="G13" s="19">
        <f t="shared" si="5"/>
        <v>39272.61991</v>
      </c>
      <c r="H13" s="19">
        <f t="shared" si="5"/>
        <v>43490.22573</v>
      </c>
      <c r="I13" s="19">
        <f t="shared" si="5"/>
        <v>47753.78491</v>
      </c>
      <c r="J13" s="19">
        <f t="shared" si="5"/>
        <v>52043.25012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/>
      <c r="B14" s="41"/>
      <c r="C14" s="19"/>
      <c r="D14" s="19"/>
      <c r="E14" s="19"/>
      <c r="F14" s="19"/>
      <c r="G14" s="19"/>
      <c r="H14" s="19"/>
      <c r="I14" s="19"/>
      <c r="J14" s="1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5" t="s">
        <v>49</v>
      </c>
      <c r="B15" s="41">
        <f>Historicals!B31</f>
        <v>18264</v>
      </c>
      <c r="C15" s="41">
        <f>Historicals!C31</f>
        <v>19671</v>
      </c>
      <c r="D15" s="41">
        <f>Historicals!D31</f>
        <v>18087</v>
      </c>
      <c r="E15" s="41">
        <f>Historicals!E31</f>
        <v>20235</v>
      </c>
      <c r="F15" s="19">
        <f t="shared" ref="F15:J15" si="6">$E15</f>
        <v>20235</v>
      </c>
      <c r="G15" s="19">
        <f t="shared" si="6"/>
        <v>20235</v>
      </c>
      <c r="H15" s="19">
        <f t="shared" si="6"/>
        <v>20235</v>
      </c>
      <c r="I15" s="19">
        <f t="shared" si="6"/>
        <v>20235</v>
      </c>
      <c r="J15" s="19">
        <f t="shared" si="6"/>
        <v>20235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5" t="s">
        <v>51</v>
      </c>
      <c r="B16" s="41">
        <f>Historicals!B32</f>
        <v>1746</v>
      </c>
      <c r="C16" s="41">
        <f>Historicals!C32</f>
        <v>1561</v>
      </c>
      <c r="D16" s="41">
        <f>Historicals!D32</f>
        <v>1319</v>
      </c>
      <c r="E16" s="41">
        <f>Historicals!E32</f>
        <v>1206</v>
      </c>
      <c r="F16" s="19">
        <f t="shared" ref="F16:J16" si="7">$E16</f>
        <v>1206</v>
      </c>
      <c r="G16" s="19">
        <f t="shared" si="7"/>
        <v>1206</v>
      </c>
      <c r="H16" s="19">
        <f t="shared" si="7"/>
        <v>1206</v>
      </c>
      <c r="I16" s="19">
        <f t="shared" si="7"/>
        <v>1206</v>
      </c>
      <c r="J16" s="19">
        <f t="shared" si="7"/>
        <v>1206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5" t="s">
        <v>53</v>
      </c>
      <c r="B17" s="41">
        <f>Historicals!B33</f>
        <v>9841</v>
      </c>
      <c r="C17" s="41">
        <f>Historicals!C33</f>
        <v>9236</v>
      </c>
      <c r="D17" s="41">
        <f>Historicals!D33</f>
        <v>10303</v>
      </c>
      <c r="E17" s="41">
        <f>Historicals!E33</f>
        <v>9613</v>
      </c>
      <c r="F17" s="19">
        <f>'PP&amp;E'!F8</f>
        <v>10720.4371</v>
      </c>
      <c r="G17" s="19">
        <f>'PP&amp;E'!G8</f>
        <v>11877.70887</v>
      </c>
      <c r="H17" s="19">
        <f>'PP&amp;E'!H8</f>
        <v>13081.27151</v>
      </c>
      <c r="I17" s="19">
        <f>'PP&amp;E'!I8</f>
        <v>14326.95884</v>
      </c>
      <c r="J17" s="19">
        <f>'PP&amp;E'!J8</f>
        <v>15610.0168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5" t="s">
        <v>54</v>
      </c>
      <c r="B18" s="41">
        <f>Historicals!B34</f>
        <v>14214</v>
      </c>
      <c r="C18" s="41">
        <f>Historicals!C34</f>
        <v>14349</v>
      </c>
      <c r="D18" s="41">
        <f>Historicals!D34</f>
        <v>13301</v>
      </c>
      <c r="E18" s="41">
        <f>Historicals!E34</f>
        <v>12531</v>
      </c>
      <c r="F18" s="19">
        <f t="shared" ref="F18:J18" si="8">$E18</f>
        <v>12531</v>
      </c>
      <c r="G18" s="19">
        <f t="shared" si="8"/>
        <v>12531</v>
      </c>
      <c r="H18" s="19">
        <f t="shared" si="8"/>
        <v>12531</v>
      </c>
      <c r="I18" s="19">
        <f t="shared" si="8"/>
        <v>12531</v>
      </c>
      <c r="J18" s="19">
        <f t="shared" si="8"/>
        <v>12531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5" t="s">
        <v>55</v>
      </c>
      <c r="B19" s="41">
        <f>Historicals!B35</f>
        <v>18782</v>
      </c>
      <c r="C19" s="41">
        <f>Historicals!C35</f>
        <v>18358</v>
      </c>
      <c r="D19" s="41">
        <f>Historicals!D35</f>
        <v>18139</v>
      </c>
      <c r="E19" s="41">
        <f>Historicals!E35</f>
        <v>15491</v>
      </c>
      <c r="F19" s="19">
        <f t="shared" ref="F19:J19" si="9">$E19</f>
        <v>15491</v>
      </c>
      <c r="G19" s="19">
        <f t="shared" si="9"/>
        <v>15491</v>
      </c>
      <c r="H19" s="19">
        <f t="shared" si="9"/>
        <v>15491</v>
      </c>
      <c r="I19" s="19">
        <f t="shared" si="9"/>
        <v>15491</v>
      </c>
      <c r="J19" s="19">
        <f t="shared" si="9"/>
        <v>15491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5" t="s">
        <v>56</v>
      </c>
      <c r="B20" s="41">
        <f>Historicals!B36</f>
        <v>7325</v>
      </c>
      <c r="C20" s="41">
        <f>Historicals!C36</f>
        <v>7796</v>
      </c>
      <c r="D20" s="41">
        <f>Historicals!D36</f>
        <v>13403</v>
      </c>
      <c r="E20" s="41">
        <f>Historicals!E36</f>
        <v>14696</v>
      </c>
      <c r="F20" s="19">
        <f t="shared" ref="F20:J20" si="10">$E20</f>
        <v>14696</v>
      </c>
      <c r="G20" s="19">
        <f t="shared" si="10"/>
        <v>14696</v>
      </c>
      <c r="H20" s="19">
        <f t="shared" si="10"/>
        <v>14696</v>
      </c>
      <c r="I20" s="19">
        <f t="shared" si="10"/>
        <v>14696</v>
      </c>
      <c r="J20" s="19">
        <f t="shared" si="10"/>
        <v>14696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6" t="s">
        <v>57</v>
      </c>
      <c r="B21" s="41">
        <f>Historicals!B37</f>
        <v>92763</v>
      </c>
      <c r="C21" s="41">
        <f>Historicals!C37</f>
        <v>97703</v>
      </c>
      <c r="D21" s="41">
        <f>Historicals!D37</f>
        <v>100549</v>
      </c>
      <c r="E21" s="41">
        <f>Historicals!E37</f>
        <v>104816</v>
      </c>
      <c r="F21" s="19">
        <f t="shared" ref="F21:J21" si="11">F13+SUM(F15:F20)</f>
        <v>109999.4783</v>
      </c>
      <c r="G21" s="19">
        <f t="shared" si="11"/>
        <v>115309.3288</v>
      </c>
      <c r="H21" s="19">
        <f t="shared" si="11"/>
        <v>120730.4972</v>
      </c>
      <c r="I21" s="19">
        <f t="shared" si="11"/>
        <v>126239.7438</v>
      </c>
      <c r="J21" s="19">
        <f t="shared" si="11"/>
        <v>131812.2669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/>
      <c r="B22" s="19"/>
      <c r="C22" s="19"/>
      <c r="D22" s="19"/>
      <c r="E22" s="19"/>
      <c r="F22" s="19"/>
      <c r="G22" s="19"/>
      <c r="H22" s="19"/>
      <c r="I22" s="19"/>
      <c r="J22" s="19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6" t="s">
        <v>131</v>
      </c>
      <c r="B23" s="19"/>
      <c r="C23" s="19"/>
      <c r="D23" s="19"/>
      <c r="E23" s="19"/>
      <c r="F23" s="19"/>
      <c r="G23" s="19"/>
      <c r="H23" s="19"/>
      <c r="I23" s="19"/>
      <c r="J23" s="19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5" t="s">
        <v>59</v>
      </c>
      <c r="B24" s="19">
        <f>Historicals!B38</f>
        <v>15749</v>
      </c>
      <c r="C24" s="19">
        <f>Historicals!C38</f>
        <v>15485</v>
      </c>
      <c r="D24" s="19">
        <f>Historicals!D38</f>
        <v>21712</v>
      </c>
      <c r="E24" s="19">
        <f>Historicals!E38</f>
        <v>14813</v>
      </c>
      <c r="F24" s="19">
        <f>'Working Capital'!F9</f>
        <v>15554.45745</v>
      </c>
      <c r="G24" s="19">
        <f>'Working Capital'!G9</f>
        <v>16254.40804</v>
      </c>
      <c r="H24" s="19">
        <f>'Working Capital'!H9</f>
        <v>16904.58436</v>
      </c>
      <c r="I24" s="19">
        <f>'Working Capital'!I9</f>
        <v>17496.24481</v>
      </c>
      <c r="J24" s="19">
        <f>'Working Capital'!J9</f>
        <v>18021.13215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5" t="s">
        <v>60</v>
      </c>
      <c r="B25" s="19">
        <f>Historicals!B39</f>
        <v>2373</v>
      </c>
      <c r="C25" s="19">
        <f>Historicals!C39</f>
        <v>4557</v>
      </c>
      <c r="D25" s="19">
        <f>Historicals!D39</f>
        <v>1499</v>
      </c>
      <c r="E25" s="19">
        <f>Historicals!E39</f>
        <v>1551</v>
      </c>
      <c r="F25" s="19">
        <f t="shared" ref="F25:J25" si="12">$E25</f>
        <v>1551</v>
      </c>
      <c r="G25" s="19">
        <f t="shared" si="12"/>
        <v>1551</v>
      </c>
      <c r="H25" s="19">
        <f t="shared" si="12"/>
        <v>1551</v>
      </c>
      <c r="I25" s="19">
        <f t="shared" si="12"/>
        <v>1551</v>
      </c>
      <c r="J25" s="19">
        <f t="shared" si="12"/>
        <v>1551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5" t="s">
        <v>61</v>
      </c>
      <c r="B26" s="19">
        <f>Historicals!B40</f>
        <v>399</v>
      </c>
      <c r="C26" s="19">
        <f>Historicals!C40</f>
        <v>1960</v>
      </c>
      <c r="D26" s="19">
        <f>Historicals!D40</f>
        <v>648</v>
      </c>
      <c r="E26" s="19">
        <f>Historicals!E40</f>
        <v>1822</v>
      </c>
      <c r="F26" s="19">
        <f t="shared" ref="F26:J26" si="13">$E26</f>
        <v>1822</v>
      </c>
      <c r="G26" s="19">
        <f t="shared" si="13"/>
        <v>1822</v>
      </c>
      <c r="H26" s="19">
        <f t="shared" si="13"/>
        <v>1822</v>
      </c>
      <c r="I26" s="19">
        <f t="shared" si="13"/>
        <v>1822</v>
      </c>
      <c r="J26" s="19">
        <f t="shared" si="13"/>
        <v>1822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5" t="s">
        <v>62</v>
      </c>
      <c r="B27" s="19">
        <f>Historicals!B41</f>
        <v>1203</v>
      </c>
      <c r="C27" s="19">
        <f>Historicals!C41</f>
        <v>1569</v>
      </c>
      <c r="D27" s="19">
        <f>Historicals!D41</f>
        <v>1387</v>
      </c>
      <c r="E27" s="19">
        <f>Historicals!E41</f>
        <v>525</v>
      </c>
      <c r="F27" s="19">
        <f t="shared" ref="F27:J27" si="14">$E27</f>
        <v>525</v>
      </c>
      <c r="G27" s="19">
        <f t="shared" si="14"/>
        <v>525</v>
      </c>
      <c r="H27" s="19">
        <f t="shared" si="14"/>
        <v>525</v>
      </c>
      <c r="I27" s="19">
        <f t="shared" si="14"/>
        <v>525</v>
      </c>
      <c r="J27" s="19">
        <f t="shared" si="14"/>
        <v>525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5" t="s">
        <v>63</v>
      </c>
      <c r="B28" s="46" t="str">
        <f>Historicals!B42</f>
        <v>—</v>
      </c>
      <c r="C28" s="46" t="str">
        <f>Historicals!C42</f>
        <v>—</v>
      </c>
      <c r="D28" s="46">
        <f>Historicals!D42</f>
        <v>3</v>
      </c>
      <c r="E28" s="46">
        <f>Historicals!E42</f>
        <v>2570</v>
      </c>
      <c r="F28" s="32">
        <f t="shared" ref="F28:J28" si="15">$E28</f>
        <v>2570</v>
      </c>
      <c r="G28" s="32">
        <f t="shared" si="15"/>
        <v>2570</v>
      </c>
      <c r="H28" s="32">
        <f t="shared" si="15"/>
        <v>2570</v>
      </c>
      <c r="I28" s="32">
        <f t="shared" si="15"/>
        <v>2570</v>
      </c>
      <c r="J28" s="32">
        <f t="shared" si="15"/>
        <v>2570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6" t="s">
        <v>64</v>
      </c>
      <c r="B29" s="19">
        <f>Historicals!B43</f>
        <v>19724</v>
      </c>
      <c r="C29" s="19">
        <f>Historicals!C43</f>
        <v>23571</v>
      </c>
      <c r="D29" s="19">
        <f>Historicals!D43</f>
        <v>25249</v>
      </c>
      <c r="E29" s="19">
        <f>Historicals!E43</f>
        <v>21281</v>
      </c>
      <c r="F29" s="19">
        <f t="shared" ref="F29:J29" si="16">SUM(F24:F28)</f>
        <v>22022.45745</v>
      </c>
      <c r="G29" s="19">
        <f t="shared" si="16"/>
        <v>22722.40804</v>
      </c>
      <c r="H29" s="19">
        <f t="shared" si="16"/>
        <v>23372.58436</v>
      </c>
      <c r="I29" s="19">
        <f t="shared" si="16"/>
        <v>23964.24481</v>
      </c>
      <c r="J29" s="19">
        <f t="shared" si="16"/>
        <v>24489.13215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5" t="s">
        <v>65</v>
      </c>
      <c r="B30" s="19">
        <f>Historicals!B44</f>
        <v>36377</v>
      </c>
      <c r="C30" s="19">
        <f>Historicals!C44</f>
        <v>35547</v>
      </c>
      <c r="D30" s="19">
        <f>Historicals!D44</f>
        <v>42375</v>
      </c>
      <c r="E30" s="19">
        <f>Historicals!E44</f>
        <v>42119</v>
      </c>
      <c r="F30" s="19">
        <f>Debt!F8-$E25-$E26</f>
        <v>42119</v>
      </c>
      <c r="G30" s="19">
        <f>Debt!G8-$E25-$E26</f>
        <v>42119</v>
      </c>
      <c r="H30" s="19">
        <f>Debt!H8-$E25-$E26</f>
        <v>42119</v>
      </c>
      <c r="I30" s="19">
        <f>Debt!I8-$E25-$E26</f>
        <v>42119</v>
      </c>
      <c r="J30" s="19">
        <f>Debt!J8-$E25-$E26</f>
        <v>42119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5" t="s">
        <v>66</v>
      </c>
      <c r="B31" s="19">
        <f>Historicals!B45</f>
        <v>7922</v>
      </c>
      <c r="C31" s="19">
        <f>Historicals!C45</f>
        <v>8466</v>
      </c>
      <c r="D31" s="19">
        <f>Historicals!D45</f>
        <v>4084</v>
      </c>
      <c r="E31" s="19">
        <f>Historicals!E45</f>
        <v>4735</v>
      </c>
      <c r="F31" s="19">
        <f t="shared" ref="F31:J31" si="17">$E31</f>
        <v>4735</v>
      </c>
      <c r="G31" s="19">
        <f t="shared" si="17"/>
        <v>4735</v>
      </c>
      <c r="H31" s="19">
        <f t="shared" si="17"/>
        <v>4735</v>
      </c>
      <c r="I31" s="19">
        <f t="shared" si="17"/>
        <v>4735</v>
      </c>
      <c r="J31" s="19">
        <f t="shared" si="17"/>
        <v>4735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5" t="s">
        <v>68</v>
      </c>
      <c r="B32" s="19">
        <f>Historicals!B46</f>
        <v>2914</v>
      </c>
      <c r="C32" s="19">
        <f>Historicals!C46</f>
        <v>2639</v>
      </c>
      <c r="D32" s="19">
        <f>Historicals!D46</f>
        <v>2469</v>
      </c>
      <c r="E32" s="19">
        <f>Historicals!E46</f>
        <v>2406</v>
      </c>
      <c r="F32" s="19">
        <f t="shared" ref="F32:J32" si="18">$E32</f>
        <v>2406</v>
      </c>
      <c r="G32" s="19">
        <f t="shared" si="18"/>
        <v>2406</v>
      </c>
      <c r="H32" s="19">
        <f t="shared" si="18"/>
        <v>2406</v>
      </c>
      <c r="I32" s="19">
        <f t="shared" si="18"/>
        <v>2406</v>
      </c>
      <c r="J32" s="19">
        <f t="shared" si="18"/>
        <v>2406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6" t="s">
        <v>135</v>
      </c>
      <c r="B33" s="19">
        <f t="shared" ref="B33:E33" si="19">B29+B30+B31+B32</f>
        <v>66937</v>
      </c>
      <c r="C33" s="19">
        <f t="shared" si="19"/>
        <v>70223</v>
      </c>
      <c r="D33" s="19">
        <f t="shared" si="19"/>
        <v>74177</v>
      </c>
      <c r="E33" s="19">
        <f t="shared" si="19"/>
        <v>70541</v>
      </c>
      <c r="F33" s="19">
        <f t="shared" ref="F33:J33" si="20">F29+SUM(F30:F32)</f>
        <v>71282.45745</v>
      </c>
      <c r="G33" s="19">
        <f t="shared" si="20"/>
        <v>71982.40804</v>
      </c>
      <c r="H33" s="19">
        <f t="shared" si="20"/>
        <v>72632.58436</v>
      </c>
      <c r="I33" s="19">
        <f t="shared" si="20"/>
        <v>73224.24481</v>
      </c>
      <c r="J33" s="19">
        <f t="shared" si="20"/>
        <v>73749.13215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5" t="s">
        <v>69</v>
      </c>
      <c r="B34" s="19">
        <f>Historicals!B47</f>
        <v>24105</v>
      </c>
      <c r="C34" s="19">
        <f>Historicals!C47</f>
        <v>25941</v>
      </c>
      <c r="D34" s="19">
        <f>Historicals!D47</f>
        <v>24856</v>
      </c>
      <c r="E34" s="19">
        <f>Historicals!E47</f>
        <v>32169</v>
      </c>
      <c r="F34" s="19">
        <f>E34+'Income Statement'!F20-('Income Statement'!F20*Assumptions!F12)</f>
        <v>36611.02085</v>
      </c>
      <c r="G34" s="19">
        <f>F34+'Income Statement'!G20-('Income Statement'!G20*Assumptions!G12)</f>
        <v>41220.92075</v>
      </c>
      <c r="H34" s="19">
        <f>G34+'Income Statement'!H20-('Income Statement'!H20*Assumptions!H12)</f>
        <v>45991.91288</v>
      </c>
      <c r="I34" s="19">
        <f>H34+'Income Statement'!I20-('Income Statement'!I20*Assumptions!I12)</f>
        <v>50909.49894</v>
      </c>
      <c r="J34" s="19">
        <f>I34+'Income Statement'!J20-('Income Statement'!J20*Assumptions!J12)</f>
        <v>55957.13476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5" t="s">
        <v>70</v>
      </c>
      <c r="B35" s="19">
        <f>Historicals!B48</f>
        <v>1721</v>
      </c>
      <c r="C35" s="19">
        <f>Historicals!C48</f>
        <v>1539</v>
      </c>
      <c r="D35" s="19">
        <f>Historicals!D48</f>
        <v>1516</v>
      </c>
      <c r="E35" s="19">
        <f>Historicals!E48</f>
        <v>2106</v>
      </c>
      <c r="F35" s="19">
        <f t="shared" ref="F35:J35" si="21">$E35</f>
        <v>2106</v>
      </c>
      <c r="G35" s="19">
        <f t="shared" si="21"/>
        <v>2106</v>
      </c>
      <c r="H35" s="19">
        <f t="shared" si="21"/>
        <v>2106</v>
      </c>
      <c r="I35" s="19">
        <f t="shared" si="21"/>
        <v>2106</v>
      </c>
      <c r="J35" s="19">
        <f t="shared" si="21"/>
        <v>2106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6" t="s">
        <v>71</v>
      </c>
      <c r="B36" s="19">
        <f>Historicals!B49</f>
        <v>25826</v>
      </c>
      <c r="C36" s="19">
        <f>Historicals!C49</f>
        <v>27480</v>
      </c>
      <c r="D36" s="19">
        <f>Historicals!D49</f>
        <v>26372</v>
      </c>
      <c r="E36" s="19">
        <f>Historicals!E49</f>
        <v>34275</v>
      </c>
      <c r="F36" s="19">
        <f t="shared" ref="F36:J36" si="22">F34+F35</f>
        <v>38717.02085</v>
      </c>
      <c r="G36" s="19">
        <f t="shared" si="22"/>
        <v>43326.92075</v>
      </c>
      <c r="H36" s="19">
        <f t="shared" si="22"/>
        <v>48097.91288</v>
      </c>
      <c r="I36" s="19">
        <f t="shared" si="22"/>
        <v>53015.49894</v>
      </c>
      <c r="J36" s="19">
        <f t="shared" si="22"/>
        <v>58063.13476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6" t="s">
        <v>72</v>
      </c>
      <c r="B37" s="19">
        <f>Historicals!B50</f>
        <v>92763</v>
      </c>
      <c r="C37" s="19">
        <f>Historicals!C50</f>
        <v>97703</v>
      </c>
      <c r="D37" s="19">
        <f>Historicals!D50</f>
        <v>100549</v>
      </c>
      <c r="E37" s="19">
        <f>Historicals!E50</f>
        <v>104816</v>
      </c>
      <c r="F37" s="19">
        <f t="shared" ref="F37:J37" si="23">F33+F36</f>
        <v>109999.4783</v>
      </c>
      <c r="G37" s="19">
        <f t="shared" si="23"/>
        <v>115309.3288</v>
      </c>
      <c r="H37" s="19">
        <f t="shared" si="23"/>
        <v>120730.4972</v>
      </c>
      <c r="I37" s="19">
        <f t="shared" si="23"/>
        <v>126239.7438</v>
      </c>
      <c r="J37" s="19">
        <f t="shared" si="23"/>
        <v>131812.2669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6" t="s">
        <v>138</v>
      </c>
      <c r="B38" s="19">
        <f t="shared" ref="B38:J38" si="24">B21-B37</f>
        <v>0</v>
      </c>
      <c r="C38" s="19">
        <f t="shared" si="24"/>
        <v>0</v>
      </c>
      <c r="D38" s="19">
        <f t="shared" si="24"/>
        <v>0</v>
      </c>
      <c r="E38" s="19">
        <f t="shared" si="24"/>
        <v>0</v>
      </c>
      <c r="F38" s="19">
        <f t="shared" si="24"/>
        <v>0</v>
      </c>
      <c r="G38" s="19">
        <f t="shared" si="24"/>
        <v>0</v>
      </c>
      <c r="H38" s="19">
        <f t="shared" si="24"/>
        <v>0</v>
      </c>
      <c r="I38" s="19">
        <f t="shared" si="24"/>
        <v>0</v>
      </c>
      <c r="J38" s="19">
        <f t="shared" si="24"/>
        <v>0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A1" s="8" t="s">
        <v>74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 t="s">
        <v>14</v>
      </c>
      <c r="B3" s="26" t="s">
        <v>9</v>
      </c>
      <c r="C3" s="26" t="s">
        <v>11</v>
      </c>
      <c r="D3" s="26" t="s">
        <v>12</v>
      </c>
      <c r="E3" s="26" t="s">
        <v>13</v>
      </c>
      <c r="F3" s="26" t="s">
        <v>15</v>
      </c>
      <c r="G3" s="26" t="s">
        <v>16</v>
      </c>
      <c r="H3" s="26" t="s">
        <v>17</v>
      </c>
      <c r="I3" s="26" t="s">
        <v>18</v>
      </c>
      <c r="J3" s="26" t="s">
        <v>19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6" t="s">
        <v>76</v>
      </c>
      <c r="B5" s="13"/>
      <c r="C5" s="13"/>
      <c r="D5" s="13"/>
      <c r="E5" s="13"/>
      <c r="F5" s="13"/>
      <c r="G5" s="13"/>
      <c r="H5" s="13"/>
      <c r="I5" s="13"/>
      <c r="J5" s="1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 t="s">
        <v>115</v>
      </c>
      <c r="B6" s="19">
        <f>Historicals!B56</f>
        <v>9571</v>
      </c>
      <c r="C6" s="19">
        <f>Historicals!C56</f>
        <v>10703</v>
      </c>
      <c r="D6" s="19">
        <f>Historicals!D56</f>
        <v>10649</v>
      </c>
      <c r="E6" s="19">
        <f>Historicals!E56</f>
        <v>13137</v>
      </c>
      <c r="F6" s="19">
        <f>'Income Statement'!F20</f>
        <v>13460.66923</v>
      </c>
      <c r="G6" s="19">
        <f>'Income Statement'!G20</f>
        <v>13969.39364</v>
      </c>
      <c r="H6" s="19">
        <f>'Income Statement'!H20</f>
        <v>14457.55192</v>
      </c>
      <c r="I6" s="19">
        <f>'Income Statement'!I20</f>
        <v>14901.77594</v>
      </c>
      <c r="J6" s="19">
        <f>'Income Statement'!J20</f>
        <v>15295.86612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 t="s">
        <v>123</v>
      </c>
      <c r="B7" s="19">
        <f>Historicals!B57</f>
        <v>1260</v>
      </c>
      <c r="C7" s="19">
        <f>Historicals!C57</f>
        <v>1128</v>
      </c>
      <c r="D7" s="19">
        <f>Historicals!D57</f>
        <v>1075</v>
      </c>
      <c r="E7" s="19">
        <f>Historicals!E57</f>
        <v>1050</v>
      </c>
      <c r="F7" s="19">
        <f>'PP&amp;E'!F7</f>
        <v>1107.4371</v>
      </c>
      <c r="G7" s="19">
        <f>'PP&amp;E'!G7</f>
        <v>1157.27177</v>
      </c>
      <c r="H7" s="19">
        <f>'PP&amp;E'!H7</f>
        <v>1203.56264</v>
      </c>
      <c r="I7" s="19">
        <f>'PP&amp;E'!I7</f>
        <v>1245.687333</v>
      </c>
      <c r="J7" s="19">
        <f>'PP&amp;E'!J7</f>
        <v>1283.057953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 t="s">
        <v>127</v>
      </c>
      <c r="B8" s="43" t="s">
        <v>36</v>
      </c>
      <c r="C8" s="19">
        <f>-'Working Capital'!C12</f>
        <v>-378</v>
      </c>
      <c r="D8" s="19">
        <f>-'Working Capital'!D12</f>
        <v>5764</v>
      </c>
      <c r="E8" s="19">
        <f>-'Working Capital'!E12</f>
        <v>-6065</v>
      </c>
      <c r="F8" s="19">
        <f>-'Working Capital'!F12</f>
        <v>366.823065</v>
      </c>
      <c r="G8" s="19">
        <f>-'Working Capital'!G12</f>
        <v>347.2570379</v>
      </c>
      <c r="H8" s="19">
        <f>-'Working Capital'!H12</f>
        <v>322.5632041</v>
      </c>
      <c r="I8" s="19">
        <f>-'Working Capital'!I12</f>
        <v>293.5325157</v>
      </c>
      <c r="J8" s="19">
        <f>-'Working Capital'!J12</f>
        <v>260.4052747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6" t="s">
        <v>129</v>
      </c>
      <c r="B9" s="19">
        <f>Historicals!B66</f>
        <v>11018</v>
      </c>
      <c r="C9" s="19">
        <f>Historicals!C66</f>
        <v>11599</v>
      </c>
      <c r="D9" s="19">
        <f>Historicals!D66</f>
        <v>6805</v>
      </c>
      <c r="E9" s="19">
        <f>Historicals!E66</f>
        <v>7408</v>
      </c>
      <c r="F9" s="19">
        <f t="shared" ref="F9:J9" si="1">SUM(F6:F8)</f>
        <v>14934.9294</v>
      </c>
      <c r="G9" s="19">
        <f t="shared" si="1"/>
        <v>15473.92245</v>
      </c>
      <c r="H9" s="19">
        <f t="shared" si="1"/>
        <v>15983.67776</v>
      </c>
      <c r="I9" s="19">
        <f t="shared" si="1"/>
        <v>16440.99579</v>
      </c>
      <c r="J9" s="19">
        <f t="shared" si="1"/>
        <v>16839.32935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6"/>
      <c r="B10" s="19"/>
      <c r="C10" s="19"/>
      <c r="D10" s="19"/>
      <c r="E10" s="19"/>
      <c r="F10" s="19"/>
      <c r="G10" s="19"/>
      <c r="H10" s="19"/>
      <c r="I10" s="19"/>
      <c r="J10" s="19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6" t="s">
        <v>86</v>
      </c>
      <c r="B11" s="19"/>
      <c r="C11" s="19"/>
      <c r="D11" s="19"/>
      <c r="E11" s="19"/>
      <c r="F11" s="19"/>
      <c r="G11" s="19"/>
      <c r="H11" s="19"/>
      <c r="I11" s="19"/>
      <c r="J11" s="1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 t="s">
        <v>126</v>
      </c>
      <c r="B12" s="19">
        <f>Historicals!B72</f>
        <v>-1484</v>
      </c>
      <c r="C12" s="19">
        <f>Historicals!C72</f>
        <v>-1852</v>
      </c>
      <c r="D12" s="19">
        <f>Historicals!D72</f>
        <v>-2064</v>
      </c>
      <c r="E12" s="19">
        <f>Historicals!E72</f>
        <v>-2112</v>
      </c>
      <c r="F12" s="19">
        <f>-'PP&amp;E'!F6</f>
        <v>-2214.8742</v>
      </c>
      <c r="G12" s="19">
        <f>-'PP&amp;E'!G6</f>
        <v>-2314.543539</v>
      </c>
      <c r="H12" s="19">
        <f>-'PP&amp;E'!H6</f>
        <v>-2407.125281</v>
      </c>
      <c r="I12" s="19">
        <f>-'PP&amp;E'!I6</f>
        <v>-2491.374665</v>
      </c>
      <c r="J12" s="19">
        <f>-'PP&amp;E'!J6</f>
        <v>-2566.115905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6" t="s">
        <v>132</v>
      </c>
      <c r="B13" s="19">
        <f>Historicals!B76</f>
        <v>-763</v>
      </c>
      <c r="C13" s="19">
        <f>Historicals!C76</f>
        <v>-3349</v>
      </c>
      <c r="D13" s="19">
        <f>Historicals!D76</f>
        <v>2524</v>
      </c>
      <c r="E13" s="19">
        <f>Historicals!E76</f>
        <v>-67</v>
      </c>
      <c r="F13" s="19">
        <f t="shared" ref="F13:J13" si="2">F12</f>
        <v>-2214.8742</v>
      </c>
      <c r="G13" s="19">
        <f t="shared" si="2"/>
        <v>-2314.543539</v>
      </c>
      <c r="H13" s="19">
        <f t="shared" si="2"/>
        <v>-2407.125281</v>
      </c>
      <c r="I13" s="19">
        <f t="shared" si="2"/>
        <v>-2491.374665</v>
      </c>
      <c r="J13" s="19">
        <f t="shared" si="2"/>
        <v>-2566.115905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6"/>
      <c r="B14" s="19"/>
      <c r="C14" s="19"/>
      <c r="D14" s="19"/>
      <c r="E14" s="19"/>
      <c r="F14" s="19"/>
      <c r="G14" s="19"/>
      <c r="H14" s="19"/>
      <c r="I14" s="19"/>
      <c r="J14" s="1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6" t="s">
        <v>98</v>
      </c>
      <c r="B15" s="19"/>
      <c r="C15" s="19"/>
      <c r="D15" s="19"/>
      <c r="E15" s="19"/>
      <c r="F15" s="19"/>
      <c r="G15" s="19"/>
      <c r="H15" s="19"/>
      <c r="I15" s="19"/>
      <c r="J15" s="19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5" t="s">
        <v>133</v>
      </c>
      <c r="B16" s="19">
        <f>Historicals!B78</f>
        <v>3972</v>
      </c>
      <c r="C16" s="19">
        <f>Historicals!C78</f>
        <v>6891</v>
      </c>
      <c r="D16" s="19">
        <f>Historicals!D78</f>
        <v>12061</v>
      </c>
      <c r="E16" s="19">
        <f>Historicals!E78</f>
        <v>4980</v>
      </c>
      <c r="F16" s="47">
        <f>Debt!F6</f>
        <v>0</v>
      </c>
      <c r="G16" s="47">
        <f>Debt!G6</f>
        <v>0</v>
      </c>
      <c r="H16" s="47">
        <f>Debt!H6</f>
        <v>0</v>
      </c>
      <c r="I16" s="47">
        <f>Debt!I6</f>
        <v>0</v>
      </c>
      <c r="J16" s="47">
        <f>Debt!J6</f>
        <v>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5" t="s">
        <v>134</v>
      </c>
      <c r="B17" s="19">
        <f>Historicals!B79</f>
        <v>-4930</v>
      </c>
      <c r="C17" s="19">
        <f>Historicals!C79</f>
        <v>-5034</v>
      </c>
      <c r="D17" s="19">
        <f>Historicals!D79</f>
        <v>-9533</v>
      </c>
      <c r="E17" s="19">
        <f>Historicals!E79</f>
        <v>-4967</v>
      </c>
      <c r="F17" s="41">
        <f>Debt!F7</f>
        <v>0</v>
      </c>
      <c r="G17" s="41">
        <f>Debt!G7</f>
        <v>0</v>
      </c>
      <c r="H17" s="41">
        <f>Debt!H7</f>
        <v>0</v>
      </c>
      <c r="I17" s="41">
        <f>Debt!I7</f>
        <v>0</v>
      </c>
      <c r="J17" s="41">
        <f>Debt!J7</f>
        <v>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5" t="s">
        <v>104</v>
      </c>
      <c r="B18" s="19">
        <f>Historicals!B82</f>
        <v>-7616</v>
      </c>
      <c r="C18" s="19">
        <f>Historicals!C82</f>
        <v>-7952</v>
      </c>
      <c r="D18" s="19">
        <f>Historicals!D82</f>
        <v>-8359</v>
      </c>
      <c r="E18" s="19">
        <f>Historicals!E82</f>
        <v>-8779</v>
      </c>
      <c r="F18" s="41">
        <f>-'Income Statement'!F20*Assumptions!F12</f>
        <v>-9018.648384</v>
      </c>
      <c r="G18" s="41">
        <f>-'Income Statement'!G20*Assumptions!G12</f>
        <v>-9359.49374</v>
      </c>
      <c r="H18" s="41">
        <f>-'Income Statement'!H20*Assumptions!H12</f>
        <v>-9686.559784</v>
      </c>
      <c r="I18" s="41">
        <f>-'Income Statement'!I20*Assumptions!I12</f>
        <v>-9984.189883</v>
      </c>
      <c r="J18" s="41">
        <f>-'Income Statement'!J20*Assumptions!J12</f>
        <v>-10248.2303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6" t="s">
        <v>136</v>
      </c>
      <c r="B19" s="19">
        <f>Historicals!B85</f>
        <v>-10250</v>
      </c>
      <c r="C19" s="19">
        <f>Historicals!C85</f>
        <v>-8310</v>
      </c>
      <c r="D19" s="19">
        <f>Historicals!D85</f>
        <v>-6910</v>
      </c>
      <c r="E19" s="19">
        <f>Historicals!E85</f>
        <v>-8140</v>
      </c>
      <c r="F19" s="41">
        <f t="shared" ref="F19:J19" si="3">SUM(F16:F18)</f>
        <v>-9018.648384</v>
      </c>
      <c r="G19" s="41">
        <f t="shared" si="3"/>
        <v>-9359.49374</v>
      </c>
      <c r="H19" s="41">
        <f t="shared" si="3"/>
        <v>-9686.559784</v>
      </c>
      <c r="I19" s="41">
        <f t="shared" si="3"/>
        <v>-9984.189883</v>
      </c>
      <c r="J19" s="41">
        <f t="shared" si="3"/>
        <v>-10248.2303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6"/>
      <c r="B20" s="19"/>
      <c r="C20" s="19"/>
      <c r="D20" s="19"/>
      <c r="E20" s="19"/>
      <c r="F20" s="41"/>
      <c r="G20" s="41"/>
      <c r="H20" s="19"/>
      <c r="I20" s="19"/>
      <c r="J20" s="19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6" t="s">
        <v>137</v>
      </c>
      <c r="B21" s="19">
        <f>Historicals!B88</f>
        <v>-200</v>
      </c>
      <c r="C21" s="19">
        <f>Historicals!C88</f>
        <v>-133</v>
      </c>
      <c r="D21" s="19">
        <f>Historicals!D88</f>
        <v>1796</v>
      </c>
      <c r="E21" s="19">
        <f>Historicals!E88</f>
        <v>-478</v>
      </c>
      <c r="F21" s="41">
        <f t="shared" ref="F21:J21" si="4">F9+F13+F19</f>
        <v>3701.406811</v>
      </c>
      <c r="G21" s="41">
        <f t="shared" si="4"/>
        <v>3799.88517</v>
      </c>
      <c r="H21" s="41">
        <f t="shared" si="4"/>
        <v>3889.992696</v>
      </c>
      <c r="I21" s="41">
        <f t="shared" si="4"/>
        <v>3965.431245</v>
      </c>
      <c r="J21" s="41">
        <f t="shared" si="4"/>
        <v>4024.983141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5" t="s">
        <v>139</v>
      </c>
      <c r="B22" s="19">
        <f>Historicals!B89</f>
        <v>10025</v>
      </c>
      <c r="C22" s="19">
        <f>Historicals!C89</f>
        <v>9825</v>
      </c>
      <c r="D22" s="19">
        <f>Historicals!D89</f>
        <v>9692</v>
      </c>
      <c r="E22" s="19">
        <f>Historicals!E89</f>
        <v>11488</v>
      </c>
      <c r="F22" s="41">
        <f t="shared" ref="F22:J22" si="5">E23</f>
        <v>10270</v>
      </c>
      <c r="G22" s="41">
        <f t="shared" si="5"/>
        <v>13971.40681</v>
      </c>
      <c r="H22" s="41">
        <f t="shared" si="5"/>
        <v>17771.29198</v>
      </c>
      <c r="I22" s="41">
        <f t="shared" si="5"/>
        <v>21661.28468</v>
      </c>
      <c r="J22" s="41">
        <f t="shared" si="5"/>
        <v>25626.71592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6" t="s">
        <v>140</v>
      </c>
      <c r="B23" s="19">
        <f>Historicals!B90</f>
        <v>9825</v>
      </c>
      <c r="C23" s="19">
        <f>Historicals!C90</f>
        <v>9692</v>
      </c>
      <c r="D23" s="19">
        <f>Historicals!D90</f>
        <v>11488</v>
      </c>
      <c r="E23" s="19">
        <f>Historicals!E92</f>
        <v>10270</v>
      </c>
      <c r="F23" s="41">
        <f t="shared" ref="F23:J23" si="6">F22+F21</f>
        <v>13971.40681</v>
      </c>
      <c r="G23" s="41">
        <f t="shared" si="6"/>
        <v>17771.29198</v>
      </c>
      <c r="H23" s="41">
        <f t="shared" si="6"/>
        <v>21661.28468</v>
      </c>
      <c r="I23" s="41">
        <f t="shared" si="6"/>
        <v>25626.71592</v>
      </c>
      <c r="J23" s="41">
        <f t="shared" si="6"/>
        <v>29651.69906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27"/>
      <c r="G24" s="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27"/>
      <c r="G25" s="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27"/>
      <c r="G26" s="27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27"/>
      <c r="G27" s="27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27"/>
      <c r="G28" s="27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27"/>
      <c r="G29" s="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27"/>
      <c r="G30" s="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27"/>
      <c r="G31" s="2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27"/>
      <c r="G32" s="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</cols>
  <sheetData>
    <row r="1">
      <c r="A1" s="6" t="s">
        <v>116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3"/>
      <c r="B3" s="26" t="s">
        <v>9</v>
      </c>
      <c r="C3" s="26" t="s">
        <v>11</v>
      </c>
      <c r="D3" s="26" t="s">
        <v>12</v>
      </c>
      <c r="E3" s="26" t="s">
        <v>13</v>
      </c>
      <c r="F3" s="26" t="s">
        <v>15</v>
      </c>
      <c r="G3" s="26" t="s">
        <v>16</v>
      </c>
      <c r="H3" s="26" t="s">
        <v>17</v>
      </c>
      <c r="I3" s="26" t="s">
        <v>18</v>
      </c>
      <c r="J3" s="26" t="s">
        <v>19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5" t="s">
        <v>43</v>
      </c>
      <c r="B5" s="19">
        <f>'Balance Sheet'!B9</f>
        <v>3487</v>
      </c>
      <c r="C5" s="19">
        <f>'Balance Sheet'!C9</f>
        <v>3410</v>
      </c>
      <c r="D5" s="19">
        <f>'Balance Sheet'!D9</f>
        <v>3569</v>
      </c>
      <c r="E5" s="19">
        <f>'Balance Sheet'!E9</f>
        <v>3038</v>
      </c>
      <c r="F5" s="19">
        <f>F6*'Income Statement'!F4</f>
        <v>3191.43237</v>
      </c>
      <c r="G5" s="19">
        <f>G6*'Income Statement'!G4</f>
        <v>3335.046827</v>
      </c>
      <c r="H5" s="19">
        <f>H6*'Income Statement'!H4</f>
        <v>3468.4487</v>
      </c>
      <c r="I5" s="19">
        <f>I6*'Income Statement'!I4</f>
        <v>3589.844404</v>
      </c>
      <c r="J5" s="19">
        <f>J6*'Income Statement'!J4</f>
        <v>3697.539736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2" t="s">
        <v>118</v>
      </c>
      <c r="B6" s="21">
        <f>B5/'Income Statement'!B4</f>
        <v>0.08108548042</v>
      </c>
      <c r="C6" s="21">
        <f>C5/'Income Statement'!C4</f>
        <v>0.07452900293</v>
      </c>
      <c r="D6" s="21">
        <f>D5/'Income Statement'!D4</f>
        <v>0.0758377425</v>
      </c>
      <c r="E6" s="21">
        <f>E5/'Income Statement'!E4</f>
        <v>0.06336955842</v>
      </c>
      <c r="F6" s="22">
        <v>0.0634</v>
      </c>
      <c r="G6" s="22">
        <v>0.0634</v>
      </c>
      <c r="H6" s="22">
        <v>0.0634</v>
      </c>
      <c r="I6" s="22">
        <v>0.0634</v>
      </c>
      <c r="J6" s="22">
        <v>0.0634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15" t="s">
        <v>120</v>
      </c>
      <c r="B7" s="19">
        <f>'Balance Sheet'!B10</f>
        <v>4233</v>
      </c>
      <c r="C7" s="19">
        <f>'Balance Sheet'!C10</f>
        <v>4424</v>
      </c>
      <c r="D7" s="19">
        <f>'Balance Sheet'!D10</f>
        <v>4728</v>
      </c>
      <c r="E7" s="19">
        <f>'Balance Sheet'!E10</f>
        <v>4425</v>
      </c>
      <c r="F7" s="19">
        <f>F8*'Income Statement'!F4</f>
        <v>4646.202015</v>
      </c>
      <c r="G7" s="19">
        <f>G8*'Income Statement'!G4</f>
        <v>4855.281106</v>
      </c>
      <c r="H7" s="19">
        <f>H8*'Income Statement'!H4</f>
        <v>5049.49235</v>
      </c>
      <c r="I7" s="19">
        <f>I8*'Income Statement'!I4</f>
        <v>5226.224582</v>
      </c>
      <c r="J7" s="19">
        <f>J8*'Income Statement'!J4</f>
        <v>5383.01132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2" t="s">
        <v>121</v>
      </c>
      <c r="B8" s="21">
        <f>B7/'Income Statement'!B4</f>
        <v>0.09843270393</v>
      </c>
      <c r="C8" s="21">
        <f>C7/'Income Statement'!C4</f>
        <v>0.09669099969</v>
      </c>
      <c r="D8" s="21">
        <f>D7/'Income Statement'!D4</f>
        <v>0.1004653535</v>
      </c>
      <c r="E8" s="21">
        <f>E7/'Income Statement'!E4</f>
        <v>0.09230095326</v>
      </c>
      <c r="F8" s="45">
        <v>0.0923</v>
      </c>
      <c r="G8" s="45">
        <v>0.0923</v>
      </c>
      <c r="H8" s="45">
        <v>0.0923</v>
      </c>
      <c r="I8" s="45">
        <v>0.0923</v>
      </c>
      <c r="J8" s="45">
        <v>0.0923</v>
      </c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15" t="s">
        <v>124</v>
      </c>
      <c r="B9" s="19">
        <f>'Balance Sheet'!B24</f>
        <v>15749</v>
      </c>
      <c r="C9" s="19">
        <f>'Balance Sheet'!C24</f>
        <v>15485</v>
      </c>
      <c r="D9" s="19">
        <f>'Balance Sheet'!D24</f>
        <v>21712</v>
      </c>
      <c r="E9" s="19">
        <f>'Balance Sheet'!E24</f>
        <v>14813</v>
      </c>
      <c r="F9" s="19">
        <f>F10*'Income Statement'!F4</f>
        <v>15554.45745</v>
      </c>
      <c r="G9" s="19">
        <f>G10*'Income Statement'!G4</f>
        <v>16254.40804</v>
      </c>
      <c r="H9" s="19">
        <f>H10*'Income Statement'!H4</f>
        <v>16904.58436</v>
      </c>
      <c r="I9" s="19">
        <f>I10*'Income Statement'!I4</f>
        <v>17496.24481</v>
      </c>
      <c r="J9" s="19">
        <f>J10*'Income Statement'!J4</f>
        <v>18021.13215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2" t="s">
        <v>125</v>
      </c>
      <c r="B10" s="21">
        <f>B9/'Income Statement'!B4</f>
        <v>0.3662217468</v>
      </c>
      <c r="C10" s="21">
        <f>C9/'Income Statement'!C4</f>
        <v>0.3384403549</v>
      </c>
      <c r="D10" s="21">
        <f>D9/'Income Statement'!D4</f>
        <v>0.4613586622</v>
      </c>
      <c r="E10" s="21">
        <f>E9/'Income Statement'!E4</f>
        <v>0.3089839595</v>
      </c>
      <c r="F10" s="22">
        <v>0.309</v>
      </c>
      <c r="G10" s="22">
        <v>0.309</v>
      </c>
      <c r="H10" s="22">
        <v>0.309</v>
      </c>
      <c r="I10" s="22">
        <v>0.309</v>
      </c>
      <c r="J10" s="22">
        <v>0.309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15" t="s">
        <v>128</v>
      </c>
      <c r="B11" s="19">
        <f t="shared" ref="B11:J11" si="1">B5+B7-B9</f>
        <v>-8029</v>
      </c>
      <c r="C11" s="19">
        <f t="shared" si="1"/>
        <v>-7651</v>
      </c>
      <c r="D11" s="19">
        <f t="shared" si="1"/>
        <v>-13415</v>
      </c>
      <c r="E11" s="19">
        <f t="shared" si="1"/>
        <v>-7350</v>
      </c>
      <c r="F11" s="19">
        <f t="shared" si="1"/>
        <v>-7716.823065</v>
      </c>
      <c r="G11" s="19">
        <f t="shared" si="1"/>
        <v>-8064.080103</v>
      </c>
      <c r="H11" s="19">
        <f t="shared" si="1"/>
        <v>-8386.643307</v>
      </c>
      <c r="I11" s="19">
        <f t="shared" si="1"/>
        <v>-8680.175823</v>
      </c>
      <c r="J11" s="19">
        <f t="shared" si="1"/>
        <v>-8940.581097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 t="s">
        <v>127</v>
      </c>
      <c r="B12" s="44" t="s">
        <v>36</v>
      </c>
      <c r="C12" s="19">
        <f t="shared" ref="C12:J12" si="2">C11-B11</f>
        <v>378</v>
      </c>
      <c r="D12" s="19">
        <f t="shared" si="2"/>
        <v>-5764</v>
      </c>
      <c r="E12" s="19">
        <f t="shared" si="2"/>
        <v>6065</v>
      </c>
      <c r="F12" s="19">
        <f t="shared" si="2"/>
        <v>-366.823065</v>
      </c>
      <c r="G12" s="19">
        <f t="shared" si="2"/>
        <v>-347.2570379</v>
      </c>
      <c r="H12" s="19">
        <f t="shared" si="2"/>
        <v>-322.5632041</v>
      </c>
      <c r="I12" s="19">
        <f t="shared" si="2"/>
        <v>-293.5325157</v>
      </c>
      <c r="J12" s="19">
        <f t="shared" si="2"/>
        <v>-260.4052747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2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2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2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2" t="s">
        <v>119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14</v>
      </c>
      <c r="B3" s="26" t="s">
        <v>9</v>
      </c>
      <c r="C3" s="26" t="s">
        <v>11</v>
      </c>
      <c r="D3" s="26" t="s">
        <v>12</v>
      </c>
      <c r="E3" s="26" t="s">
        <v>13</v>
      </c>
      <c r="F3" s="26" t="s">
        <v>15</v>
      </c>
      <c r="G3" s="26" t="s">
        <v>16</v>
      </c>
      <c r="H3" s="26" t="s">
        <v>17</v>
      </c>
      <c r="I3" s="26" t="s">
        <v>18</v>
      </c>
      <c r="J3" s="26" t="s">
        <v>19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6" t="s">
        <v>122</v>
      </c>
      <c r="B5" s="43" t="s">
        <v>36</v>
      </c>
      <c r="C5" s="19">
        <f t="shared" ref="C5:J5" si="1">B8</f>
        <v>9841</v>
      </c>
      <c r="D5" s="19">
        <f t="shared" si="1"/>
        <v>9236</v>
      </c>
      <c r="E5" s="19">
        <f t="shared" si="1"/>
        <v>10303</v>
      </c>
      <c r="F5" s="19">
        <f t="shared" si="1"/>
        <v>9613</v>
      </c>
      <c r="G5" s="19">
        <f t="shared" si="1"/>
        <v>10720.4371</v>
      </c>
      <c r="H5" s="19">
        <f t="shared" si="1"/>
        <v>11877.70887</v>
      </c>
      <c r="I5" s="19">
        <f t="shared" si="1"/>
        <v>13081.27151</v>
      </c>
      <c r="J5" s="19">
        <f t="shared" si="1"/>
        <v>14326.95884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6" t="s">
        <v>126</v>
      </c>
      <c r="B6" s="19">
        <f>-Historicals!B72</f>
        <v>1484</v>
      </c>
      <c r="C6" s="19">
        <f>-Historicals!C72</f>
        <v>1852</v>
      </c>
      <c r="D6" s="19">
        <f>-Historicals!D72</f>
        <v>2064</v>
      </c>
      <c r="E6" s="19">
        <f>-Historicals!E72</f>
        <v>2112</v>
      </c>
      <c r="F6" s="19">
        <f>'Income Statement'!F4*Assumptions!F11</f>
        <v>2214.8742</v>
      </c>
      <c r="G6" s="19">
        <f>'Income Statement'!G4*Assumptions!G11</f>
        <v>2314.543539</v>
      </c>
      <c r="H6" s="19">
        <f>'Income Statement'!H4*Assumptions!H11</f>
        <v>2407.125281</v>
      </c>
      <c r="I6" s="19">
        <f>'Income Statement'!I4*Assumptions!I11</f>
        <v>2491.374665</v>
      </c>
      <c r="J6" s="19">
        <f>'Income Statement'!J4*Assumptions!J11</f>
        <v>2566.115905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6" t="s">
        <v>123</v>
      </c>
      <c r="B7" s="19">
        <f>Historicals!B57</f>
        <v>1260</v>
      </c>
      <c r="C7" s="19">
        <f>Historicals!C57</f>
        <v>1128</v>
      </c>
      <c r="D7" s="19">
        <f>Historicals!D57</f>
        <v>1075</v>
      </c>
      <c r="E7" s="19">
        <f>Historicals!E57</f>
        <v>1050</v>
      </c>
      <c r="F7" s="19">
        <f>'Income Statement'!F4*Assumptions!F10</f>
        <v>1107.4371</v>
      </c>
      <c r="G7" s="19">
        <f>'Income Statement'!G4*Assumptions!G10</f>
        <v>1157.27177</v>
      </c>
      <c r="H7" s="19">
        <f>'Income Statement'!H4*Assumptions!H10</f>
        <v>1203.56264</v>
      </c>
      <c r="I7" s="19">
        <f>'Income Statement'!I4*Assumptions!I10</f>
        <v>1245.687333</v>
      </c>
      <c r="J7" s="19">
        <f>'Income Statement'!J4*Assumptions!J10</f>
        <v>1283.057953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6" t="s">
        <v>130</v>
      </c>
      <c r="B8" s="19">
        <f>'Balance Sheet'!B17</f>
        <v>9841</v>
      </c>
      <c r="C8" s="19">
        <f>'Balance Sheet'!C17</f>
        <v>9236</v>
      </c>
      <c r="D8" s="19">
        <f>'Balance Sheet'!D17</f>
        <v>10303</v>
      </c>
      <c r="E8" s="19">
        <f>'Balance Sheet'!E17</f>
        <v>9613</v>
      </c>
      <c r="F8" s="19">
        <f t="shared" ref="F8:J8" si="2">F5+F6-F7</f>
        <v>10720.4371</v>
      </c>
      <c r="G8" s="19">
        <f t="shared" si="2"/>
        <v>11877.70887</v>
      </c>
      <c r="H8" s="19">
        <f t="shared" si="2"/>
        <v>13081.27151</v>
      </c>
      <c r="I8" s="19">
        <f t="shared" si="2"/>
        <v>14326.95884</v>
      </c>
      <c r="J8" s="19">
        <f t="shared" si="2"/>
        <v>15610.0168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</cols>
  <sheetData>
    <row r="1">
      <c r="A1" s="2" t="s">
        <v>141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14</v>
      </c>
      <c r="B3" s="26" t="s">
        <v>9</v>
      </c>
      <c r="C3" s="26" t="s">
        <v>11</v>
      </c>
      <c r="D3" s="26" t="s">
        <v>12</v>
      </c>
      <c r="E3" s="26" t="s">
        <v>13</v>
      </c>
      <c r="F3" s="26" t="s">
        <v>15</v>
      </c>
      <c r="G3" s="26" t="s">
        <v>16</v>
      </c>
      <c r="H3" s="26" t="s">
        <v>17</v>
      </c>
      <c r="I3" s="26" t="s">
        <v>18</v>
      </c>
      <c r="J3" s="26" t="s">
        <v>19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5" t="s">
        <v>143</v>
      </c>
      <c r="B5" s="48" t="s">
        <v>36</v>
      </c>
      <c r="C5" s="19">
        <f t="shared" ref="C5:J5" si="1">B8</f>
        <v>39149</v>
      </c>
      <c r="D5" s="19">
        <f t="shared" si="1"/>
        <v>42064</v>
      </c>
      <c r="E5" s="19">
        <f t="shared" si="1"/>
        <v>44522</v>
      </c>
      <c r="F5" s="19">
        <f t="shared" si="1"/>
        <v>45492</v>
      </c>
      <c r="G5" s="19">
        <f t="shared" si="1"/>
        <v>45492</v>
      </c>
      <c r="H5" s="19">
        <f t="shared" si="1"/>
        <v>45492</v>
      </c>
      <c r="I5" s="19">
        <f t="shared" si="1"/>
        <v>45492</v>
      </c>
      <c r="J5" s="19">
        <f t="shared" si="1"/>
        <v>45492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 t="s">
        <v>133</v>
      </c>
      <c r="B6" s="35">
        <f>Historicals!B78</f>
        <v>3972</v>
      </c>
      <c r="C6" s="35">
        <f>Historicals!C78</f>
        <v>6891</v>
      </c>
      <c r="D6" s="35">
        <f>Historicals!D78</f>
        <v>12061</v>
      </c>
      <c r="E6" s="35">
        <f>Historicals!E78</f>
        <v>4980</v>
      </c>
      <c r="F6" s="13">
        <f t="shared" ref="F6:J6" si="2">0</f>
        <v>0</v>
      </c>
      <c r="G6" s="13">
        <f t="shared" si="2"/>
        <v>0</v>
      </c>
      <c r="H6" s="13">
        <f t="shared" si="2"/>
        <v>0</v>
      </c>
      <c r="I6" s="13">
        <f t="shared" si="2"/>
        <v>0</v>
      </c>
      <c r="J6" s="13">
        <f t="shared" si="2"/>
        <v>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 t="s">
        <v>134</v>
      </c>
      <c r="B7" s="35">
        <f>Historicals!B79</f>
        <v>-4930</v>
      </c>
      <c r="C7" s="35">
        <f>Historicals!C79</f>
        <v>-5034</v>
      </c>
      <c r="D7" s="35">
        <f>Historicals!D79</f>
        <v>-9533</v>
      </c>
      <c r="E7" s="35">
        <f>Historicals!E79</f>
        <v>-4967</v>
      </c>
      <c r="F7" s="13">
        <f t="shared" ref="F7:J7" si="3">0</f>
        <v>0</v>
      </c>
      <c r="G7" s="13">
        <f t="shared" si="3"/>
        <v>0</v>
      </c>
      <c r="H7" s="13">
        <f t="shared" si="3"/>
        <v>0</v>
      </c>
      <c r="I7" s="13">
        <f t="shared" si="3"/>
        <v>0</v>
      </c>
      <c r="J7" s="13">
        <f t="shared" si="3"/>
        <v>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 t="s">
        <v>146</v>
      </c>
      <c r="B8" s="19">
        <f>'Balance Sheet'!B25+'Balance Sheet'!B26+'Balance Sheet'!B30</f>
        <v>39149</v>
      </c>
      <c r="C8" s="19">
        <f>'Balance Sheet'!C25+'Balance Sheet'!C26+'Balance Sheet'!C30</f>
        <v>42064</v>
      </c>
      <c r="D8" s="19">
        <f>'Balance Sheet'!D25+'Balance Sheet'!D26+'Balance Sheet'!D30</f>
        <v>44522</v>
      </c>
      <c r="E8" s="19">
        <f>'Balance Sheet'!E25+'Balance Sheet'!E26+'Balance Sheet'!E30</f>
        <v>45492</v>
      </c>
      <c r="F8" s="19">
        <f t="shared" ref="F8:J8" si="4">F5+F6+F7</f>
        <v>45492</v>
      </c>
      <c r="G8" s="19">
        <f t="shared" si="4"/>
        <v>45492</v>
      </c>
      <c r="H8" s="19">
        <f t="shared" si="4"/>
        <v>45492</v>
      </c>
      <c r="I8" s="19">
        <f t="shared" si="4"/>
        <v>45492</v>
      </c>
      <c r="J8" s="19">
        <f t="shared" si="4"/>
        <v>45492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 t="s">
        <v>148</v>
      </c>
      <c r="B9" s="48" t="s">
        <v>36</v>
      </c>
      <c r="C9" s="13">
        <f t="shared" ref="C9:J9" si="5">(C5+C8)/2</f>
        <v>40606.5</v>
      </c>
      <c r="D9" s="13">
        <f t="shared" si="5"/>
        <v>43293</v>
      </c>
      <c r="E9" s="13">
        <f t="shared" si="5"/>
        <v>45007</v>
      </c>
      <c r="F9" s="13">
        <f t="shared" si="5"/>
        <v>45492</v>
      </c>
      <c r="G9" s="13">
        <f t="shared" si="5"/>
        <v>45492</v>
      </c>
      <c r="H9" s="13">
        <f t="shared" si="5"/>
        <v>45492</v>
      </c>
      <c r="I9" s="13">
        <f t="shared" si="5"/>
        <v>45492</v>
      </c>
      <c r="J9" s="13">
        <f t="shared" si="5"/>
        <v>45492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2" t="s">
        <v>151</v>
      </c>
      <c r="B10" s="51" t="s">
        <v>36</v>
      </c>
      <c r="C10" s="52">
        <f>'Income Statement'!C14/C9</f>
        <v>0.03760481696</v>
      </c>
      <c r="D10" s="52">
        <f>'Income Statement'!D14/D9</f>
        <v>0.03825098746</v>
      </c>
      <c r="E10" s="52">
        <f>'Income Statement'!E14/E9</f>
        <v>0.03674983891</v>
      </c>
      <c r="F10" s="52">
        <f t="shared" ref="F10:J10" si="6">3.7%</f>
        <v>0.037</v>
      </c>
      <c r="G10" s="52">
        <f t="shared" si="6"/>
        <v>0.037</v>
      </c>
      <c r="H10" s="52">
        <f t="shared" si="6"/>
        <v>0.037</v>
      </c>
      <c r="I10" s="52">
        <f t="shared" si="6"/>
        <v>0.037</v>
      </c>
      <c r="J10" s="52">
        <f t="shared" si="6"/>
        <v>0.037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15" t="s">
        <v>29</v>
      </c>
      <c r="B11" s="13"/>
      <c r="C11" s="13"/>
      <c r="D11" s="15"/>
      <c r="E11" s="13"/>
      <c r="F11" s="19">
        <f t="shared" ref="F11:J11" si="7">F9*F10</f>
        <v>1683.204</v>
      </c>
      <c r="G11" s="19">
        <f t="shared" si="7"/>
        <v>1683.204</v>
      </c>
      <c r="H11" s="19">
        <f t="shared" si="7"/>
        <v>1683.204</v>
      </c>
      <c r="I11" s="19">
        <f t="shared" si="7"/>
        <v>1683.204</v>
      </c>
      <c r="J11" s="19">
        <f t="shared" si="7"/>
        <v>1683.204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</cols>
  <sheetData>
    <row r="1">
      <c r="A1" s="8" t="s">
        <v>142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 t="s">
        <v>14</v>
      </c>
      <c r="B3" s="26" t="s">
        <v>15</v>
      </c>
      <c r="C3" s="26" t="s">
        <v>16</v>
      </c>
      <c r="D3" s="26" t="s">
        <v>17</v>
      </c>
      <c r="E3" s="26" t="s">
        <v>18</v>
      </c>
      <c r="F3" s="26" t="s">
        <v>19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3"/>
      <c r="B4" s="13"/>
      <c r="C4" s="13"/>
      <c r="D4" s="13"/>
      <c r="E4" s="13"/>
      <c r="F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5" t="s">
        <v>144</v>
      </c>
      <c r="B5" s="49">
        <f>'Income Statement'!F11</f>
        <v>14598.0345</v>
      </c>
      <c r="C5" s="49">
        <f>'Income Statement'!G11</f>
        <v>15254.94605</v>
      </c>
      <c r="D5" s="49">
        <f>'Income Statement'!H11</f>
        <v>15865.14389</v>
      </c>
      <c r="E5" s="49">
        <f>'Income Statement'!I11</f>
        <v>16420.42393</v>
      </c>
      <c r="F5" s="49">
        <f>'Income Statement'!J11</f>
        <v>16913.03665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 t="s">
        <v>52</v>
      </c>
      <c r="B6" s="21">
        <f>'Income Statement'!F19</f>
        <v>0.199</v>
      </c>
      <c r="C6" s="21">
        <f>'Income Statement'!G19</f>
        <v>0.2</v>
      </c>
      <c r="D6" s="21">
        <f>'Income Statement'!H19</f>
        <v>0.2</v>
      </c>
      <c r="E6" s="21">
        <f>'Income Statement'!I19</f>
        <v>0.2</v>
      </c>
      <c r="F6" s="21">
        <f>'Income Statement'!J19</f>
        <v>0.2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 t="s">
        <v>145</v>
      </c>
      <c r="B7" s="49">
        <f t="shared" ref="B7:F7" si="1">B5*(1-B6)</f>
        <v>11693.02563</v>
      </c>
      <c r="C7" s="49">
        <f t="shared" si="1"/>
        <v>12203.95684</v>
      </c>
      <c r="D7" s="49">
        <f t="shared" si="1"/>
        <v>12692.11512</v>
      </c>
      <c r="E7" s="49">
        <f t="shared" si="1"/>
        <v>13136.33914</v>
      </c>
      <c r="F7" s="49">
        <f t="shared" si="1"/>
        <v>13530.42932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 t="s">
        <v>123</v>
      </c>
      <c r="B8" s="49">
        <f>'PP&amp;E'!F7</f>
        <v>1107.4371</v>
      </c>
      <c r="C8" s="49">
        <f>'PP&amp;E'!G7</f>
        <v>1157.27177</v>
      </c>
      <c r="D8" s="49">
        <f>'PP&amp;E'!H7</f>
        <v>1203.56264</v>
      </c>
      <c r="E8" s="49">
        <f>'PP&amp;E'!I7</f>
        <v>1245.687333</v>
      </c>
      <c r="F8" s="49">
        <f>'PP&amp;E'!J7</f>
        <v>1283.057953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 t="s">
        <v>126</v>
      </c>
      <c r="B9" s="49">
        <f>-'PP&amp;E'!F6</f>
        <v>-2214.8742</v>
      </c>
      <c r="C9" s="49">
        <f>-'PP&amp;E'!G6</f>
        <v>-2314.543539</v>
      </c>
      <c r="D9" s="49">
        <f>-'PP&amp;E'!H6</f>
        <v>-2407.125281</v>
      </c>
      <c r="E9" s="49">
        <f>-'PP&amp;E'!I6</f>
        <v>-2491.374665</v>
      </c>
      <c r="F9" s="49">
        <f>-'PP&amp;E'!J6</f>
        <v>-2566.115905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 t="s">
        <v>127</v>
      </c>
      <c r="B10" s="49">
        <f>'Working Capital'!F12</f>
        <v>-366.823065</v>
      </c>
      <c r="C10" s="49">
        <f>'Working Capital'!G12</f>
        <v>-347.2570379</v>
      </c>
      <c r="D10" s="49">
        <f>'Working Capital'!H12</f>
        <v>-322.5632041</v>
      </c>
      <c r="E10" s="49">
        <f>'Working Capital'!I12</f>
        <v>-293.5325157</v>
      </c>
      <c r="F10" s="49">
        <f>'Working Capital'!J12</f>
        <v>-260.4052747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6" t="s">
        <v>147</v>
      </c>
      <c r="B11" s="49">
        <f t="shared" ref="B11:F11" si="2">B7+B8+B9-B10</f>
        <v>10952.4116</v>
      </c>
      <c r="C11" s="49">
        <f t="shared" si="2"/>
        <v>11393.94211</v>
      </c>
      <c r="D11" s="49">
        <f t="shared" si="2"/>
        <v>11811.11568</v>
      </c>
      <c r="E11" s="49">
        <f t="shared" si="2"/>
        <v>12184.18433</v>
      </c>
      <c r="F11" s="49">
        <f t="shared" si="2"/>
        <v>12507.77664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/>
      <c r="B12" s="49"/>
      <c r="C12" s="49"/>
      <c r="D12" s="49"/>
      <c r="E12" s="49"/>
      <c r="F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5" t="s">
        <v>149</v>
      </c>
      <c r="B13" s="50">
        <f>1</f>
        <v>1</v>
      </c>
      <c r="C13" s="50">
        <f t="shared" ref="C13:F13" si="3">B13+1</f>
        <v>2</v>
      </c>
      <c r="D13" s="50">
        <f t="shared" si="3"/>
        <v>3</v>
      </c>
      <c r="E13" s="50">
        <f t="shared" si="3"/>
        <v>4</v>
      </c>
      <c r="F13" s="50">
        <f t="shared" si="3"/>
        <v>5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 t="s">
        <v>150</v>
      </c>
      <c r="B14" s="49">
        <f t="shared" ref="B14:F14" si="4">1/(1+$B$28)^B13</f>
        <v>0.9345794393</v>
      </c>
      <c r="C14" s="49">
        <f t="shared" si="4"/>
        <v>0.8734387283</v>
      </c>
      <c r="D14" s="49">
        <f t="shared" si="4"/>
        <v>0.8162978769</v>
      </c>
      <c r="E14" s="49">
        <f t="shared" si="4"/>
        <v>0.762895212</v>
      </c>
      <c r="F14" s="49">
        <f t="shared" si="4"/>
        <v>0.7129861795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6" t="s">
        <v>152</v>
      </c>
      <c r="B15" s="49">
        <f t="shared" ref="B15:F15" si="5">B11*B14</f>
        <v>10235.89869</v>
      </c>
      <c r="C15" s="49">
        <f t="shared" si="5"/>
        <v>9951.910307</v>
      </c>
      <c r="D15" s="49">
        <f t="shared" si="5"/>
        <v>9641.388653</v>
      </c>
      <c r="E15" s="49">
        <f t="shared" si="5"/>
        <v>9295.255886</v>
      </c>
      <c r="F15" s="49">
        <f t="shared" si="5"/>
        <v>8917.871881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7"/>
      <c r="B16" s="4"/>
      <c r="C16" s="4"/>
      <c r="D16" s="4"/>
      <c r="E16" s="4"/>
      <c r="F16" s="4"/>
      <c r="G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5" t="s">
        <v>153</v>
      </c>
      <c r="B17" s="53">
        <v>0.025</v>
      </c>
      <c r="C17" s="4"/>
      <c r="D17" s="4"/>
      <c r="E17" s="4"/>
      <c r="F17" s="4"/>
      <c r="G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5" t="s">
        <v>154</v>
      </c>
      <c r="B18" s="54">
        <f>F11*(1+$B$17)/($B$28-$B$17)</f>
        <v>284899.3568</v>
      </c>
      <c r="C18" s="4"/>
      <c r="D18" s="4"/>
      <c r="E18" s="4"/>
      <c r="F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5" t="s">
        <v>155</v>
      </c>
      <c r="B19" s="54">
        <f>B18*F14</f>
        <v>203129.304</v>
      </c>
      <c r="C19" s="4"/>
      <c r="D19" s="4"/>
      <c r="E19" s="4"/>
      <c r="F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/>
      <c r="B20" s="4"/>
      <c r="C20" s="4"/>
      <c r="D20" s="4"/>
      <c r="E20" s="2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6" t="s">
        <v>156</v>
      </c>
      <c r="B21" s="49">
        <f>SUM(B15:F15)+B19</f>
        <v>251171.6294</v>
      </c>
      <c r="C21" s="4"/>
      <c r="D21" s="4"/>
      <c r="E21" s="2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5" t="s">
        <v>157</v>
      </c>
      <c r="B22" s="19">
        <f>Debt!F8</f>
        <v>45492</v>
      </c>
      <c r="C22" s="4"/>
      <c r="D22" s="4"/>
      <c r="E22" s="2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5" t="s">
        <v>158</v>
      </c>
      <c r="B23" s="19">
        <f>'Balance Sheet'!E6</f>
        <v>10270</v>
      </c>
      <c r="C23" s="4"/>
      <c r="D23" s="4"/>
      <c r="E23" s="2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6" t="s">
        <v>159</v>
      </c>
      <c r="B24" s="49">
        <f>B21-B22+B23</f>
        <v>215949.6294</v>
      </c>
      <c r="C24" s="4"/>
      <c r="D24" s="4"/>
      <c r="E24" s="2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5" t="s">
        <v>160</v>
      </c>
      <c r="B25" s="33">
        <v>4313.0</v>
      </c>
      <c r="C25" s="4"/>
      <c r="D25" s="4"/>
      <c r="E25" s="2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6" t="s">
        <v>161</v>
      </c>
      <c r="B26" s="55">
        <f>B24/B25</f>
        <v>50.06947122</v>
      </c>
      <c r="C26" s="4"/>
      <c r="D26" s="4"/>
      <c r="E26" s="2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 t="s">
        <v>162</v>
      </c>
      <c r="B28" s="56">
        <v>0.07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162</v>
      </c>
      <c r="B1" s="57">
        <v>0.02</v>
      </c>
      <c r="C1" s="57">
        <v>0.0225</v>
      </c>
      <c r="D1" s="23">
        <v>0.025</v>
      </c>
      <c r="E1" s="23">
        <v>0.0275</v>
      </c>
      <c r="F1" s="23">
        <v>0.03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23">
        <v>0.06</v>
      </c>
      <c r="B2" s="58">
        <f t="array" ref="B2">(SUMPRODUCT(DCF!$B$11:$F$11,1/(1+$A2)^{1,2,3,4,5})+((DCF!$F$11*(1+B$1))/($A2-B$1))/(1+$A2)^5-DCF!$B$22+DCF!$B$23)/DCF!$B$25</f>
        <v>58.54443608</v>
      </c>
      <c r="C2" s="58">
        <f t="array" ref="C2">(SUMPRODUCT(DCF!$B$11:$F$11,1/(1+$A2)^{1,2,3,4,5})+((DCF!$F$11*(1+C$1))/($A2-C$1))/(1+$A2)^5-DCF!$B$22+DCF!$B$23)/DCF!$B$25</f>
        <v>62.37291225</v>
      </c>
      <c r="D2" s="58">
        <f t="array" ref="D2">(SUMPRODUCT(DCF!$B$11:$F$11,1/(1+$A2)^{1,2,3,4,5})+((DCF!$F$11*(1+D$1))/($A2-D$1))/(1+$A2)^5-DCF!$B$22+DCF!$B$23)/DCF!$B$25</f>
        <v>66.74831358</v>
      </c>
      <c r="E2" s="58">
        <f t="array" ref="E2">(SUMPRODUCT(DCF!$B$11:$F$11,1/(1+$A2)^{1,2,3,4,5})+((DCF!$F$11*(1+E$1))/($A2-E$1))/(1+$A2)^5-DCF!$B$22+DCF!$B$23)/DCF!$B$25</f>
        <v>71.79685358</v>
      </c>
      <c r="F2" s="58">
        <f t="array" ref="F2">(SUMPRODUCT(DCF!$B$11:$F$11,1/(1+$A2)^{1,2,3,4,5})+((DCF!$F$11*(1+F$1))/($A2-F$1))/(1+$A2)^5-DCF!$B$22+DCF!$B$23)/DCF!$B$25</f>
        <v>77.68681691</v>
      </c>
      <c r="G2" s="59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23">
        <v>0.065</v>
      </c>
      <c r="B3" s="58">
        <f t="array" ref="B3">(SUMPRODUCT(DCF!$B$11:$F$11,1/(1+$A3)^{1,2,3,4,5})+((DCF!$F$11*(1+B$1))/($A3-B$1))/(1+$A3)^5-DCF!$B$22+DCF!$B$23)/DCF!$B$25</f>
        <v>51.10452397</v>
      </c>
      <c r="C3" s="58">
        <f t="array" ref="C3">(SUMPRODUCT(DCF!$B$11:$F$11,1/(1+$A3)^{1,2,3,4,5})+((DCF!$F$11*(1+C$1))/($A3-C$1))/(1+$A3)^5-DCF!$B$22+DCF!$B$23)/DCF!$B$25</f>
        <v>54.05125702</v>
      </c>
      <c r="D3" s="58">
        <f t="array" ref="D3">(SUMPRODUCT(DCF!$B$11:$F$11,1/(1+$A3)^{1,2,3,4,5})+((DCF!$F$11*(1+D$1))/($A3-D$1))/(1+$A3)^5-DCF!$B$22+DCF!$B$23)/DCF!$B$25</f>
        <v>57.36633169</v>
      </c>
      <c r="E3" s="58">
        <f t="array" ref="E3">(SUMPRODUCT(DCF!$B$11:$F$11,1/(1+$A3)^{1,2,3,4,5})+((DCF!$F$11*(1+E$1))/($A3-E$1))/(1+$A3)^5-DCF!$B$22+DCF!$B$23)/DCF!$B$25</f>
        <v>61.12341631</v>
      </c>
      <c r="F3" s="58">
        <f t="array" ref="F3">(SUMPRODUCT(DCF!$B$11:$F$11,1/(1+$A3)^{1,2,3,4,5})+((DCF!$F$11*(1+F$1))/($A3-F$1))/(1+$A3)^5-DCF!$B$22+DCF!$B$23)/DCF!$B$25</f>
        <v>65.41722732</v>
      </c>
      <c r="G3" s="59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23">
        <v>0.07</v>
      </c>
      <c r="B4" s="58">
        <f t="array" ref="B4">(SUMPRODUCT(DCF!$B$11:$F$11,1/(1+$A4)^{1,2,3,4,5})+((DCF!$F$11*(1+B$1))/($A4-B$1))/(1+$A4)^5-DCF!$B$22+DCF!$B$23)/DCF!$B$25</f>
        <v>45.15300528</v>
      </c>
      <c r="C4" s="58">
        <f t="array" ref="C4">(SUMPRODUCT(DCF!$B$11:$F$11,1/(1+$A4)^{1,2,3,4,5})+((DCF!$F$11*(1+C$1))/($A4-C$1))/(1+$A4)^5-DCF!$B$22+DCF!$B$23)/DCF!$B$25</f>
        <v>47.48185757</v>
      </c>
      <c r="D4" s="58">
        <f t="array" ref="D4">(SUMPRODUCT(DCF!$B$11:$F$11,1/(1+$A4)^{1,2,3,4,5})+((DCF!$F$11*(1+D$1))/($A4-D$1))/(1+$A4)^5-DCF!$B$22+DCF!$B$23)/DCF!$B$25</f>
        <v>50.06947122</v>
      </c>
      <c r="E4" s="58">
        <f t="array" ref="E4">(SUMPRODUCT(DCF!$B$11:$F$11,1/(1+$A4)^{1,2,3,4,5})+((DCF!$F$11*(1+E$1))/($A4-E$1))/(1+$A4)^5-DCF!$B$22+DCF!$B$23)/DCF!$B$25</f>
        <v>52.96151001</v>
      </c>
      <c r="F4" s="58">
        <f t="array" ref="F4">(SUMPRODUCT(DCF!$B$11:$F$11,1/(1+$A4)^{1,2,3,4,5})+((DCF!$F$11*(1+F$1))/($A4-F$1))/(1+$A4)^5-DCF!$B$22+DCF!$B$23)/DCF!$B$25</f>
        <v>56.21505364</v>
      </c>
      <c r="G4" s="5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23">
        <v>0.075</v>
      </c>
      <c r="B5" s="58">
        <f t="array" ref="B5">(SUMPRODUCT(DCF!$B$11:$F$11,1/(1+$A5)^{1,2,3,4,5})+((DCF!$F$11*(1+B$1))/($A5-B$1))/(1+$A5)^5-DCF!$B$22+DCF!$B$23)/DCF!$B$25</f>
        <v>40.28394615</v>
      </c>
      <c r="C5" s="58">
        <f t="array" ref="C5">(SUMPRODUCT(DCF!$B$11:$F$11,1/(1+$A5)^{1,2,3,4,5})+((DCF!$F$11*(1+C$1))/($A5-C$1))/(1+$A5)^5-DCF!$B$22+DCF!$B$23)/DCF!$B$25</f>
        <v>42.16406289</v>
      </c>
      <c r="D5" s="58">
        <f t="array" ref="D5">(SUMPRODUCT(DCF!$B$11:$F$11,1/(1+$A5)^{1,2,3,4,5})+((DCF!$F$11*(1+D$1))/($A5-D$1))/(1+$A5)^5-DCF!$B$22+DCF!$B$23)/DCF!$B$25</f>
        <v>44.23219131</v>
      </c>
      <c r="E5" s="58">
        <f t="array" ref="E5">(SUMPRODUCT(DCF!$B$11:$F$11,1/(1+$A5)^{1,2,3,4,5})+((DCF!$F$11*(1+E$1))/($A5-E$1))/(1+$A5)^5-DCF!$B$22+DCF!$B$23)/DCF!$B$25</f>
        <v>46.51801746</v>
      </c>
      <c r="F5" s="58">
        <f t="array" ref="F5">(SUMPRODUCT(DCF!$B$11:$F$11,1/(1+$A5)^{1,2,3,4,5})+((DCF!$F$11*(1+F$1))/($A5-F$1))/(1+$A5)^5-DCF!$B$22+DCF!$B$23)/DCF!$B$25</f>
        <v>49.0578243</v>
      </c>
      <c r="G5" s="59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23">
        <v>0.08</v>
      </c>
      <c r="B6" s="58">
        <f t="array" ref="B6">(SUMPRODUCT(DCF!$B$11:$F$11,1/(1+$A6)^{1,2,3,4,5})+((DCF!$F$11*(1+B$1))/($A6-B$1))/(1+$A6)^5-DCF!$B$22+DCF!$B$23)/DCF!$B$25</f>
        <v>36.22672419</v>
      </c>
      <c r="C6" s="58">
        <f t="array" ref="C6">(SUMPRODUCT(DCF!$B$11:$F$11,1/(1+$A6)^{1,2,3,4,5})+((DCF!$F$11*(1+C$1))/($A6-C$1))/(1+$A6)^5-DCF!$B$22+DCF!$B$23)/DCF!$B$25</f>
        <v>37.77136161</v>
      </c>
      <c r="D6" s="58">
        <f t="array" ref="D6">(SUMPRODUCT(DCF!$B$11:$F$11,1/(1+$A6)^{1,2,3,4,5})+((DCF!$F$11*(1+D$1))/($A6-D$1))/(1+$A6)^5-DCF!$B$22+DCF!$B$23)/DCF!$B$25</f>
        <v>39.45642061</v>
      </c>
      <c r="E6" s="58">
        <f t="array" ref="E6">(SUMPRODUCT(DCF!$B$11:$F$11,1/(1+$A6)^{1,2,3,4,5})+((DCF!$F$11*(1+E$1))/($A6-E$1))/(1+$A6)^5-DCF!$B$22+DCF!$B$23)/DCF!$B$25</f>
        <v>41.30196142</v>
      </c>
      <c r="F6" s="58">
        <f t="array" ref="F6">(SUMPRODUCT(DCF!$B$11:$F$11,1/(1+$A6)^{1,2,3,4,5})+((DCF!$F$11*(1+F$1))/($A6-F$1))/(1+$A6)^5-DCF!$B$22+DCF!$B$23)/DCF!$B$25</f>
        <v>43.33205631</v>
      </c>
      <c r="G6" s="59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4"/>
      <c r="B7" s="59"/>
      <c r="C7" s="59"/>
      <c r="D7" s="59"/>
      <c r="E7" s="59"/>
      <c r="F7" s="59"/>
      <c r="G7" s="59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4"/>
      <c r="B8" s="59"/>
      <c r="C8" s="59"/>
      <c r="D8" s="59"/>
      <c r="E8" s="59"/>
      <c r="F8" s="59"/>
      <c r="G8" s="59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4"/>
      <c r="B9" s="59"/>
      <c r="C9" s="59"/>
      <c r="D9" s="59"/>
      <c r="E9" s="59"/>
      <c r="F9" s="59"/>
      <c r="G9" s="5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4" max="4" width="18.38"/>
    <col customWidth="1" min="8" max="8" width="22.25"/>
  </cols>
  <sheetData>
    <row r="1">
      <c r="A1" s="6" t="s">
        <v>163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0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 t="s">
        <v>164</v>
      </c>
      <c r="B4" s="13"/>
      <c r="C4" s="4"/>
      <c r="D4" s="10" t="s">
        <v>165</v>
      </c>
      <c r="E4" s="1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3" t="s">
        <v>156</v>
      </c>
      <c r="B5" s="49">
        <f>DCF!B21</f>
        <v>251171.6294</v>
      </c>
      <c r="C5" s="4"/>
      <c r="D5" s="33" t="s">
        <v>166</v>
      </c>
      <c r="E5" s="19">
        <f>'Income Statement'!E4</f>
        <v>47941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3" t="s">
        <v>157</v>
      </c>
      <c r="B6" s="19">
        <f>DCF!B22</f>
        <v>45492</v>
      </c>
      <c r="C6" s="4"/>
      <c r="D6" s="33" t="s">
        <v>167</v>
      </c>
      <c r="E6" s="19">
        <f>'Income Statement'!J4</f>
        <v>58320.81603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3" t="s">
        <v>158</v>
      </c>
      <c r="B7" s="19">
        <f>DCF!B23</f>
        <v>10270</v>
      </c>
      <c r="C7" s="4"/>
      <c r="D7" s="33" t="s">
        <v>168</v>
      </c>
      <c r="E7" s="61">
        <f>(E6/E5)^(1/5)-1</f>
        <v>0.03997596087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3" t="s">
        <v>159</v>
      </c>
      <c r="B8" s="49">
        <f>DCF!B24</f>
        <v>215949.6294</v>
      </c>
      <c r="C8" s="4"/>
      <c r="D8" s="33" t="s">
        <v>169</v>
      </c>
      <c r="E8" s="19">
        <f>'Income Statement'!E11</f>
        <v>13762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3" t="s">
        <v>160</v>
      </c>
      <c r="B9" s="13">
        <f>DCF!B25</f>
        <v>4313</v>
      </c>
      <c r="C9" s="4"/>
      <c r="D9" s="33" t="s">
        <v>170</v>
      </c>
      <c r="E9" s="19">
        <f>'Income Statement'!J11</f>
        <v>16913.03665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3" t="s">
        <v>161</v>
      </c>
      <c r="B10" s="62">
        <f>DCF!B26</f>
        <v>50.06947122</v>
      </c>
      <c r="C10" s="4"/>
      <c r="D10" s="33" t="s">
        <v>171</v>
      </c>
      <c r="E10" s="21">
        <f>'Income Statement'!J12</f>
        <v>0.29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3" t="s">
        <v>162</v>
      </c>
      <c r="B11" s="52">
        <f>DCF!B28</f>
        <v>0.07</v>
      </c>
      <c r="C11" s="4"/>
      <c r="D11" s="33" t="s">
        <v>172</v>
      </c>
      <c r="E11" s="19">
        <f>'Income Statement'!E20</f>
        <v>13137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3" t="s">
        <v>153</v>
      </c>
      <c r="B12" s="21">
        <f>DCF!B17</f>
        <v>0.025</v>
      </c>
      <c r="C12" s="4"/>
      <c r="D12" s="33" t="s">
        <v>173</v>
      </c>
      <c r="E12" s="19">
        <f>'Income Statement'!J20</f>
        <v>15295.86612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 t="s">
        <v>174</v>
      </c>
      <c r="B15" s="13"/>
      <c r="C15" s="13"/>
      <c r="D15" s="13"/>
      <c r="E15" s="13"/>
      <c r="F15" s="13"/>
      <c r="G15" s="4"/>
      <c r="H15" s="10" t="s">
        <v>175</v>
      </c>
      <c r="I15" s="1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 t="s">
        <v>176</v>
      </c>
      <c r="B16" s="26" t="s">
        <v>15</v>
      </c>
      <c r="C16" s="26" t="s">
        <v>16</v>
      </c>
      <c r="D16" s="26" t="s">
        <v>17</v>
      </c>
      <c r="E16" s="26" t="s">
        <v>18</v>
      </c>
      <c r="F16" s="26" t="s">
        <v>19</v>
      </c>
      <c r="G16" s="4"/>
      <c r="H16" s="33" t="s">
        <v>177</v>
      </c>
      <c r="I16" s="55">
        <f>DCF!B26</f>
        <v>50.06947122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3" t="s">
        <v>20</v>
      </c>
      <c r="B17" s="19">
        <f>'Income Statement'!F4</f>
        <v>50338.05</v>
      </c>
      <c r="C17" s="19">
        <f>'Income Statement'!G4</f>
        <v>52603.26225</v>
      </c>
      <c r="D17" s="19">
        <f>'Income Statement'!H4</f>
        <v>54707.39274</v>
      </c>
      <c r="E17" s="19">
        <f>'Income Statement'!I4</f>
        <v>56622.15149</v>
      </c>
      <c r="F17" s="19">
        <f>'Income Statement'!J4</f>
        <v>58320.81603</v>
      </c>
      <c r="G17" s="4"/>
      <c r="H17" s="33" t="s">
        <v>178</v>
      </c>
      <c r="I17" s="55">
        <f>Sensitivity!B6</f>
        <v>36.22672419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3" t="s">
        <v>144</v>
      </c>
      <c r="B18" s="19">
        <f>'Income Statement'!F11</f>
        <v>14598.0345</v>
      </c>
      <c r="C18" s="19">
        <f>'Income Statement'!G11</f>
        <v>15254.94605</v>
      </c>
      <c r="D18" s="19">
        <f>'Income Statement'!H11</f>
        <v>15865.14389</v>
      </c>
      <c r="E18" s="19">
        <f>'Income Statement'!I11</f>
        <v>16420.42393</v>
      </c>
      <c r="F18" s="19">
        <f>'Income Statement'!J11</f>
        <v>16913.03665</v>
      </c>
      <c r="G18" s="4"/>
      <c r="H18" s="33" t="s">
        <v>179</v>
      </c>
      <c r="I18" s="55">
        <f>Sensitivity!F2</f>
        <v>77.68681691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3" t="s">
        <v>180</v>
      </c>
      <c r="B19" s="21">
        <f>'Income Statement'!F12</f>
        <v>0.29</v>
      </c>
      <c r="C19" s="21">
        <f>'Income Statement'!G12</f>
        <v>0.29</v>
      </c>
      <c r="D19" s="21">
        <f>'Income Statement'!H12</f>
        <v>0.29</v>
      </c>
      <c r="E19" s="21">
        <f>'Income Statement'!I12</f>
        <v>0.29</v>
      </c>
      <c r="F19" s="21">
        <f>'Income Statement'!J12</f>
        <v>0.29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3" t="s">
        <v>115</v>
      </c>
      <c r="B20" s="19">
        <f>'Income Statement'!F20</f>
        <v>13460.66923</v>
      </c>
      <c r="C20" s="19">
        <f>'Income Statement'!G20</f>
        <v>13969.39364</v>
      </c>
      <c r="D20" s="19">
        <f>'Income Statement'!H20</f>
        <v>14457.55192</v>
      </c>
      <c r="E20" s="19">
        <f>'Income Statement'!I20</f>
        <v>14901.77594</v>
      </c>
      <c r="F20" s="19">
        <f>'Income Statement'!J20</f>
        <v>15295.86612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3" t="s">
        <v>147</v>
      </c>
      <c r="B21" s="49">
        <f>DCF!B11</f>
        <v>10952.4116</v>
      </c>
      <c r="C21" s="49">
        <f>DCF!C11</f>
        <v>11393.94211</v>
      </c>
      <c r="D21" s="49">
        <f>DCF!D11</f>
        <v>11811.11568</v>
      </c>
      <c r="E21" s="49">
        <f>DCF!E11</f>
        <v>12184.18433</v>
      </c>
      <c r="F21" s="49">
        <f>DCF!F11</f>
        <v>12507.77664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